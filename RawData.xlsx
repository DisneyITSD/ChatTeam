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BE33DE-610B-4FA3-836E-C1ECD274B9F1}" xr6:coauthVersionLast="47" xr6:coauthVersionMax="47" xr10:uidLastSave="{00000000-0000-0000-0000-000000000000}"/>
  <bookViews>
    <workbookView xWindow="-120" yWindow="-120" windowWidth="29040" windowHeight="15720" activeTab="1" xr2:uid="{75395B83-6453-4C33-8933-D8D7F8DF6F8F}"/>
  </bookViews>
  <sheets>
    <sheet name="EST" sheetId="1" r:id="rId1"/>
    <sheet name="PH" sheetId="4" r:id="rId2"/>
    <sheet name="EST_OLD" sheetId="6" r:id="rId3"/>
    <sheet name="PH_OLD" sheetId="7" r:id="rId4"/>
    <sheet name="PTO" sheetId="2" r:id="rId5"/>
    <sheet name="Called OFF" sheetId="3" r:id="rId6"/>
    <sheet name="NOTES" sheetId="8" r:id="rId7"/>
    <sheet name="Sheet1" sheetId="9" state="hidden" r:id="rId8"/>
  </sheets>
  <definedNames>
    <definedName name="_xlnm._FilterDatabase" localSheetId="0" hidden="1">EST!$A$1:$O$20</definedName>
    <definedName name="_xlnm._FilterDatabase" localSheetId="1" hidden="1">PH!$A$1:$O$61</definedName>
    <definedName name="_xlnm._FilterDatabase" localSheetId="3" hidden="1">PH_OLD!$A$1:$P$68</definedName>
    <definedName name="_xlnm._FilterDatabase" localSheetId="4" hidden="1">PTO!$A$1:$D$66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0" i="4" l="1"/>
  <c r="B20" i="4"/>
  <c r="C20" i="4"/>
  <c r="D20" i="4"/>
  <c r="I20" i="4" s="1"/>
  <c r="E20" i="4"/>
  <c r="F20" i="4"/>
  <c r="G20" i="4"/>
  <c r="H20" i="4"/>
  <c r="J20" i="4"/>
  <c r="K20" i="4"/>
  <c r="L20" i="4"/>
  <c r="M20" i="4"/>
  <c r="N20" i="4"/>
  <c r="P20" i="4"/>
  <c r="P20" i="1"/>
  <c r="I20" i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" i="4"/>
  <c r="J3" i="4"/>
  <c r="K3" i="4"/>
  <c r="L3" i="4"/>
  <c r="M3" i="4"/>
  <c r="J4" i="4"/>
  <c r="K4" i="4"/>
  <c r="L4" i="4"/>
  <c r="M4" i="4"/>
  <c r="J5" i="4"/>
  <c r="K5" i="4"/>
  <c r="L5" i="4"/>
  <c r="M5" i="4"/>
  <c r="J6" i="4"/>
  <c r="K6" i="4"/>
  <c r="L6" i="4"/>
  <c r="M6" i="4"/>
  <c r="J7" i="4"/>
  <c r="K7" i="4"/>
  <c r="L7" i="4"/>
  <c r="M7" i="4"/>
  <c r="J8" i="4"/>
  <c r="K8" i="4"/>
  <c r="L8" i="4"/>
  <c r="M8" i="4"/>
  <c r="J9" i="4"/>
  <c r="K9" i="4"/>
  <c r="L9" i="4"/>
  <c r="M9" i="4"/>
  <c r="J10" i="4"/>
  <c r="K10" i="4"/>
  <c r="L10" i="4"/>
  <c r="M10" i="4"/>
  <c r="J11" i="4"/>
  <c r="K11" i="4"/>
  <c r="L11" i="4"/>
  <c r="M11" i="4"/>
  <c r="J12" i="4"/>
  <c r="K12" i="4"/>
  <c r="L12" i="4"/>
  <c r="M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M18" i="4"/>
  <c r="J19" i="4"/>
  <c r="K19" i="4"/>
  <c r="L19" i="4"/>
  <c r="M19" i="4"/>
  <c r="M2" i="4"/>
  <c r="L2" i="4"/>
  <c r="K2" i="4"/>
  <c r="J2" i="4"/>
  <c r="P2" i="1"/>
  <c r="P15" i="1"/>
  <c r="I2" i="1"/>
  <c r="I15" i="1"/>
  <c r="I12" i="1"/>
  <c r="I14" i="1"/>
  <c r="I6" i="1"/>
  <c r="I10" i="1"/>
  <c r="I16" i="1"/>
  <c r="I4" i="1"/>
  <c r="I19" i="1"/>
  <c r="I18" i="1"/>
  <c r="I9" i="1"/>
  <c r="I17" i="1"/>
  <c r="I5" i="1"/>
  <c r="I3" i="1"/>
  <c r="I13" i="1"/>
  <c r="I7" i="1"/>
  <c r="I11" i="1"/>
  <c r="I8" i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" i="4"/>
  <c r="P11" i="1"/>
  <c r="P12" i="1"/>
  <c r="P14" i="1"/>
  <c r="P6" i="1"/>
  <c r="P10" i="1"/>
  <c r="P16" i="1"/>
  <c r="P4" i="1"/>
  <c r="P19" i="1"/>
  <c r="P18" i="1"/>
  <c r="P9" i="1"/>
  <c r="P17" i="1"/>
  <c r="P5" i="1"/>
  <c r="P3" i="1"/>
  <c r="P13" i="1"/>
  <c r="P7" i="1"/>
  <c r="P8" i="1"/>
  <c r="B7" i="4" l="1"/>
  <c r="F4" i="4"/>
  <c r="G4" i="4"/>
  <c r="E4" i="4"/>
  <c r="B4" i="4"/>
  <c r="D4" i="4"/>
  <c r="C4" i="4"/>
  <c r="H4" i="4"/>
  <c r="E10" i="4"/>
  <c r="B10" i="4"/>
  <c r="F10" i="4"/>
  <c r="G10" i="4"/>
  <c r="D10" i="4"/>
  <c r="C10" i="4"/>
  <c r="H10" i="4"/>
  <c r="B6" i="4"/>
  <c r="B2" i="4"/>
  <c r="E16" i="4"/>
  <c r="H16" i="4"/>
  <c r="G16" i="4"/>
  <c r="F16" i="4"/>
  <c r="C16" i="4"/>
  <c r="D16" i="4"/>
  <c r="B16" i="4"/>
  <c r="G3" i="4"/>
  <c r="F3" i="4"/>
  <c r="E3" i="4"/>
  <c r="H3" i="4"/>
  <c r="B3" i="4"/>
  <c r="C3" i="4"/>
  <c r="D3" i="4"/>
  <c r="F12" i="4"/>
  <c r="E12" i="4"/>
  <c r="D12" i="4"/>
  <c r="B12" i="4"/>
  <c r="C12" i="4"/>
  <c r="H12" i="4"/>
  <c r="G12" i="4"/>
  <c r="H19" i="4"/>
  <c r="G19" i="4"/>
  <c r="B19" i="4"/>
  <c r="D19" i="4"/>
  <c r="C19" i="4"/>
  <c r="F19" i="4"/>
  <c r="E19" i="4"/>
  <c r="H13" i="4"/>
  <c r="G13" i="4"/>
  <c r="C13" i="4"/>
  <c r="B13" i="4"/>
  <c r="E13" i="4"/>
  <c r="F13" i="4"/>
  <c r="D13" i="4"/>
  <c r="H9" i="4"/>
  <c r="F9" i="4"/>
  <c r="B9" i="4"/>
  <c r="C9" i="4"/>
  <c r="E9" i="4"/>
  <c r="D9" i="4"/>
  <c r="G9" i="4"/>
  <c r="E7" i="4"/>
  <c r="H7" i="4"/>
  <c r="G7" i="4"/>
  <c r="C7" i="4"/>
  <c r="D7" i="4"/>
  <c r="F7" i="4"/>
  <c r="G18" i="4"/>
  <c r="E18" i="4"/>
  <c r="D18" i="4"/>
  <c r="H18" i="4"/>
  <c r="C18" i="4"/>
  <c r="F18" i="4"/>
  <c r="B18" i="4"/>
  <c r="F17" i="4"/>
  <c r="G17" i="4"/>
  <c r="E17" i="4"/>
  <c r="D17" i="4"/>
  <c r="H17" i="4"/>
  <c r="B17" i="4"/>
  <c r="C17" i="4"/>
  <c r="C5" i="4"/>
  <c r="E5" i="4"/>
  <c r="H5" i="4"/>
  <c r="G5" i="4"/>
  <c r="F5" i="4"/>
  <c r="B5" i="4"/>
  <c r="D5" i="4"/>
  <c r="H8" i="4"/>
  <c r="F8" i="4"/>
  <c r="D8" i="4"/>
  <c r="C8" i="4"/>
  <c r="E8" i="4"/>
  <c r="G8" i="4"/>
  <c r="B8" i="4"/>
  <c r="F11" i="4"/>
  <c r="E11" i="4"/>
  <c r="H11" i="4"/>
  <c r="D11" i="4"/>
  <c r="G11" i="4"/>
  <c r="C11" i="4"/>
  <c r="B11" i="4"/>
  <c r="F15" i="4"/>
  <c r="G15" i="4"/>
  <c r="C15" i="4"/>
  <c r="D15" i="4"/>
  <c r="E15" i="4"/>
  <c r="H15" i="4"/>
  <c r="B15" i="4"/>
  <c r="C14" i="4"/>
  <c r="H14" i="4"/>
  <c r="G14" i="4"/>
  <c r="B14" i="4"/>
  <c r="F14" i="4"/>
  <c r="E14" i="4"/>
  <c r="D14" i="4"/>
  <c r="H6" i="4"/>
  <c r="F6" i="4"/>
  <c r="C6" i="4"/>
  <c r="E6" i="4"/>
  <c r="G6" i="4"/>
  <c r="D6" i="4"/>
  <c r="C2" i="4"/>
  <c r="G2" i="4"/>
  <c r="E2" i="4"/>
  <c r="H2" i="4"/>
  <c r="D2" i="4"/>
  <c r="F2" i="4"/>
  <c r="D14" i="3"/>
  <c r="D5" i="3"/>
  <c r="D7" i="3"/>
  <c r="D6" i="3"/>
  <c r="D11" i="3"/>
  <c r="D17" i="3"/>
  <c r="D13" i="3"/>
  <c r="D18" i="3"/>
  <c r="D8" i="3"/>
  <c r="A2" i="4"/>
  <c r="D3" i="3"/>
  <c r="D15" i="3"/>
  <c r="D4" i="3"/>
  <c r="D9" i="3"/>
  <c r="D10" i="3"/>
  <c r="D12" i="3"/>
  <c r="D16" i="3"/>
  <c r="D2" i="3"/>
  <c r="I2" i="4" l="1"/>
  <c r="I12" i="4"/>
  <c r="I11" i="4"/>
  <c r="I18" i="4"/>
  <c r="I13" i="4"/>
  <c r="I9" i="4"/>
  <c r="I4" i="4"/>
  <c r="I10" i="4"/>
  <c r="I7" i="4"/>
  <c r="I8" i="4"/>
  <c r="I17" i="4"/>
  <c r="I14" i="4"/>
  <c r="I5" i="4"/>
  <c r="I3" i="4"/>
  <c r="I16" i="4"/>
  <c r="I19" i="4"/>
  <c r="I6" i="4"/>
  <c r="I15" i="4"/>
</calcChain>
</file>

<file path=xl/sharedStrings.xml><?xml version="1.0" encoding="utf-8"?>
<sst xmlns="http://schemas.openxmlformats.org/spreadsheetml/2006/main" count="305" uniqueCount="71">
  <si>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</si>
  <si>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</si>
  <si>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</si>
  <si>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</si>
  <si>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</si>
  <si>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</si>
  <si>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</si>
  <si>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</si>
  <si>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Rest Day</t>
  </si>
  <si>
    <t>Break 1</t>
  </si>
  <si>
    <t>Break 2</t>
  </si>
  <si>
    <t>Lunch</t>
  </si>
  <si>
    <t>Break 3</t>
  </si>
  <si>
    <t>Supervisor</t>
  </si>
  <si>
    <t>EST SHIFT</t>
  </si>
  <si>
    <t>Column1</t>
  </si>
  <si>
    <t>April Cinco</t>
  </si>
  <si>
    <t>00:00 - 11:00</t>
  </si>
  <si>
    <t>OFF</t>
  </si>
  <si>
    <t>Christopher Borromeo</t>
  </si>
  <si>
    <t>01:00 - 12:00</t>
  </si>
  <si>
    <t>Asleth Montemayor</t>
  </si>
  <si>
    <t>15:00 - 02:00</t>
  </si>
  <si>
    <t>Brenda Lyn Degracia</t>
  </si>
  <si>
    <t>08:00 - 19:00</t>
  </si>
  <si>
    <t>Michael Dominguez</t>
  </si>
  <si>
    <t>Contessa Cirujales</t>
  </si>
  <si>
    <t>13:00 - 00:00</t>
  </si>
  <si>
    <t>Janice Martirez</t>
  </si>
  <si>
    <t>04:00 - 15:00</t>
  </si>
  <si>
    <t>Jarrah Jane De Castro</t>
  </si>
  <si>
    <t>17:00 - 04:00</t>
  </si>
  <si>
    <t>Jessica Mary Acuna</t>
  </si>
  <si>
    <t>Jewel Lei Sara</t>
  </si>
  <si>
    <t>12:00 - 23:00</t>
  </si>
  <si>
    <t>Christopher Rodas</t>
  </si>
  <si>
    <t>Jhon Lloyd Camero</t>
  </si>
  <si>
    <t>Jose Saldy Rubio</t>
  </si>
  <si>
    <t>Jubell Matanguihan</t>
  </si>
  <si>
    <t>02:00 - 13:00</t>
  </si>
  <si>
    <t>Lyka Mae Basco</t>
  </si>
  <si>
    <t>Nelson Tamayo</t>
  </si>
  <si>
    <t>Manilyn Abellar</t>
  </si>
  <si>
    <t>Ressan Resus</t>
  </si>
  <si>
    <t>Roel Gutay</t>
  </si>
  <si>
    <t>06:00 - 17:00</t>
  </si>
  <si>
    <t>Anmheca Valencia</t>
  </si>
  <si>
    <t>Ronald Balitos</t>
  </si>
  <si>
    <t>Remmo Panaligan</t>
  </si>
  <si>
    <t>Rossner Adonis</t>
  </si>
  <si>
    <t>11:00 - 22:00</t>
  </si>
  <si>
    <t>Rudylyn Gay May Tabor</t>
  </si>
  <si>
    <t>09:00 - 20:00</t>
  </si>
  <si>
    <t>PH SHIFT</t>
  </si>
  <si>
    <t>OFFSET</t>
  </si>
  <si>
    <t>03:00 - 14:00</t>
  </si>
  <si>
    <t>20:00 - 07:00</t>
  </si>
  <si>
    <t>16:00 - 03:00</t>
  </si>
  <si>
    <t>05:00 - 16:00</t>
  </si>
  <si>
    <t>14:00 - 01:00</t>
  </si>
  <si>
    <t>18:00 - 05:00</t>
  </si>
  <si>
    <t>23:00 - 10:00</t>
  </si>
  <si>
    <t>21:00 - 08:00</t>
  </si>
  <si>
    <t>Shift EST</t>
  </si>
  <si>
    <t>Shift</t>
  </si>
  <si>
    <t>EST Date</t>
  </si>
  <si>
    <t>Reason</t>
  </si>
  <si>
    <t>Erica Mae Villamor</t>
  </si>
  <si>
    <t>Mon - Tue - Wed</t>
  </si>
  <si>
    <t>Kurt Abong</t>
  </si>
  <si>
    <t>21:00 - 08:01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</si>
</sst>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9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5F5F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BFB1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4" fontId="5" fillId="3" borderId="4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4" borderId="0" xfId="0" applyFill="1"/>
    <xf numFmtId="20" fontId="0" fillId="0" borderId="0" xfId="0" applyNumberFormat="1"/>
    <xf numFmtId="0" fontId="0" fillId="0" borderId="5" xfId="0" applyBorder="1"/>
    <xf numFmtId="0" fontId="1" fillId="0" borderId="0" xfId="0" applyFont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20" fontId="2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8" fontId="0" fillId="0" borderId="0" xfId="0" applyNumberFormat="1"/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6" fillId="5" borderId="0" xfId="0" applyFont="1" applyFill="1"/>
    <xf numFmtId="0" fontId="5" fillId="3" borderId="1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9" xfId="0" applyBorder="1"/>
    <xf numFmtId="20" fontId="0" fillId="0" borderId="9" xfId="0" applyNumberFormat="1" applyBorder="1"/>
    <xf numFmtId="0" fontId="0" fillId="6" borderId="1" xfId="0" applyFill="1" applyBorder="1"/>
    <xf numFmtId="0" fontId="1" fillId="6" borderId="1" xfId="0" applyFont="1" applyFill="1" applyBorder="1"/>
    <xf numFmtId="20" fontId="0" fillId="6" borderId="1" xfId="0" applyNumberFormat="1" applyFill="1" applyBorder="1" applyAlignment="1">
      <alignment horizontal="center"/>
    </xf>
    <xf numFmtId="165" fontId="0" fillId="0" borderId="1" xfId="0" applyNumberForma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5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FA2A7-F67E-4B2A-A8BF-BEE95EA31C8C}" name="Table2" displayName="Table2" ref="A1:P20" totalsRowShown="0" headerRowDxfId="51" dataDxfId="50">
  <autoFilter ref="A1:P20" xr:uid="{7ABFA2A7-F67E-4B2A-A8BF-BEE95EA31C8C}"/>
  <sortState xmlns:xlrd2="http://schemas.microsoft.com/office/spreadsheetml/2017/richdata2" ref="A2:P64">
    <sortCondition ref="A1:A64"/>
  </sortState>
  <tableColumns count="16">
    <tableColumn id="1" xr3:uid="{311D3BBD-E613-4DFC-BAEE-EFBB3B28FB24}" name="Name"/>
    <tableColumn id="2" xr3:uid="{8F9001A5-53DA-4394-B0E5-25F630DB5BF6}" name="Monday" dataDxfId="49"/>
    <tableColumn id="3" xr3:uid="{3E5E1574-0687-42F8-83FC-FF1DC5A3A1CD}" name="Tuesday" dataDxfId="48"/>
    <tableColumn id="4" xr3:uid="{F68D4C7A-FCEC-416D-AFAD-938A63C9CBEF}" name="Wednesday" dataDxfId="47"/>
    <tableColumn id="5" xr3:uid="{1F93A4D0-18D3-489D-A117-3EA1B5FCDA6B}" name="Thursday" dataDxfId="46"/>
    <tableColumn id="6" xr3:uid="{F7EB6F67-1D2C-4168-B022-EBE1D0A8C53E}" name="Friday" dataDxfId="45"/>
    <tableColumn id="7" xr3:uid="{4468F089-19B5-46D6-B159-26D48BEE6069}" name="Saturday" dataDxfId="44"/>
    <tableColumn id="8" xr3:uid="{656D0C06-0D87-4AF0-92B8-E6F1E82CBC64}" name="Sunday" dataDxfId="43"/>
    <tableColumn id="9" xr3:uid="{B97D3317-68FD-4A57-885E-707D52D263B4}" name="Rest Day" dataDxfId="42">
      <calculatedColumnFormula>_xlfn.TEXTJOIN(" - ",TRUE,
IF(B2="OFF","Mon",""),
IF(C2="OFF","Tue",""),
IF(D2="OFF","Wed",""),
IF(E2="OFF","Thu",""),
IF(F2="OFF","Fri",""),
IF(G2="OFF","Sat",""),
IF(H2="OFF","Sun",""))</calculatedColumnFormula>
    </tableColumn>
    <tableColumn id="10" xr3:uid="{7E036D05-4624-4C4C-87AB-F7B6D9A8C0E4}" name="Break 1" dataDxfId="41"/>
    <tableColumn id="11" xr3:uid="{88924D9B-8678-4178-BEFB-215AA9009733}" name="Break 2" dataDxfId="40"/>
    <tableColumn id="12" xr3:uid="{C59CED7B-F5BE-4814-869E-CE877E479C6F}" name="Lunch" dataDxfId="39"/>
    <tableColumn id="13" xr3:uid="{D65400CD-D6ED-42E4-B248-2E26156D6E50}" name="Break 3" dataDxfId="38"/>
    <tableColumn id="14" xr3:uid="{CE201AE6-41C0-49DC-AEBC-553D2850C4E3}" name="Supervisor" dataDxfId="37"/>
    <tableColumn id="15" xr3:uid="{83DD762A-DAE0-4AFE-8CA5-492B818BB79A}" name="EST SHIFT" dataDxfId="36"/>
    <tableColumn id="16" xr3:uid="{E5884264-6259-4BC2-9654-B2991AB594FD}" name="Column1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73D84-D9EA-4A0A-B91F-B5DB26D776E2}" name="Table3" displayName="Table3" ref="A1:P20" totalsRowShown="0" headerRowDxfId="34" dataDxfId="33">
  <autoFilter ref="A1:P20" xr:uid="{94473D84-D9EA-4A0A-B91F-B5DB26D776E2}"/>
  <tableColumns count="16">
    <tableColumn id="1" xr3:uid="{D0B0696F-75FC-4AFF-A11B-C5D46CC25C78}" name="Name" dataDxfId="32">
      <calculatedColumnFormula>Table2[[#This Row],[Name]]</calculatedColumnFormula>
    </tableColumn>
    <tableColumn id="2" xr3:uid="{BBF0B479-620B-4B71-BB9A-1F4E5FBB2C82}" name="Monday" dataDxfId="31"/>
    <tableColumn id="3" xr3:uid="{F4D315E5-0361-4733-A5E1-09F451DC19DD}" name="Tuesday" dataDxfId="30"/>
    <tableColumn id="4" xr3:uid="{2E476E27-E48D-4AD9-BD5F-522EF6FC58A0}" name="Wednesday" dataDxfId="29"/>
    <tableColumn id="5" xr3:uid="{A18B12AD-041B-4C04-9106-2824C53C1DE2}" name="Thursday" dataDxfId="28"/>
    <tableColumn id="6" xr3:uid="{0E90988C-50D8-43F9-926F-8CBAA6CF48A6}" name="Friday" dataDxfId="27"/>
    <tableColumn id="7" xr3:uid="{1EA1CACD-D7F8-417C-AD10-6AE8B3F951AF}" name="Saturday" dataDxfId="26"/>
    <tableColumn id="8" xr3:uid="{DC9C8B77-9487-45DC-B5CA-C948E19F7C3B}" name="Sunday" dataDxfId="25"/>
    <tableColumn id="9" xr3:uid="{66009700-7181-415F-BE1E-8B3368A13FF7}" name="Rest Day" dataDxfId="24"/>
    <tableColumn id="10" xr3:uid="{D17B8E11-9A58-48EF-919A-BD4ABB27F564}" name="Break 1" dataDxfId="23"/>
    <tableColumn id="11" xr3:uid="{44378E06-1320-4348-BB95-2AA160393F58}" name="Break 2" dataDxfId="22"/>
    <tableColumn id="12" xr3:uid="{843CA1FD-F228-49F9-BD5D-F8CAF978B199}" name="Lunch" dataDxfId="21"/>
    <tableColumn id="13" xr3:uid="{66403EC5-BF40-49EC-AC72-576350FD2523}" name="Break 3" dataDxfId="20"/>
    <tableColumn id="14" xr3:uid="{3756309B-9082-4BF0-8B84-8D7322F3FF86}" name="Supervisor" dataDxfId="19"/>
    <tableColumn id="15" xr3:uid="{F72805BC-41F7-4089-876A-3AA562898F65}" name="PH SHIFT" dataDxfId="18"/>
    <tableColumn id="16" xr3:uid="{17F73FE5-6305-48B3-872C-53656D5EBDA7}" name="OFFSET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CE8E2-0F01-4FAE-891E-3D388D371CBD}" name="Table1" displayName="Table1" ref="A1:P1048576" totalsRowShown="0" headerRowDxfId="16" headerRowBorderDxfId="15">
  <autoFilter ref="A1:P1048576" xr:uid="{F6BCE8E2-0F01-4FAE-891E-3D388D371CBD}"/>
  <tableColumns count="16">
    <tableColumn id="1" xr3:uid="{32E5A71C-CDC6-44C7-965D-6371DF719B8F}" name="Name"/>
    <tableColumn id="2" xr3:uid="{1467416E-C06F-4B6E-80C8-787BEC8E5CDF}" name="Monday"/>
    <tableColumn id="3" xr3:uid="{20D6BF56-C6C2-411B-94F6-61AC760997A5}" name="Tuesday"/>
    <tableColumn id="4" xr3:uid="{4D70586F-DDF0-4AF8-95D1-DEA6A3B9A503}" name="Wednesday"/>
    <tableColumn id="5" xr3:uid="{C0082182-5C90-4950-B49C-41DAE5A88926}" name="Thursday"/>
    <tableColumn id="6" xr3:uid="{07C1004E-3AA9-4BF7-8A9E-0EEFF503D2CD}" name="Friday"/>
    <tableColumn id="7" xr3:uid="{625EA3E2-59FA-4B09-A4FE-C9C6D8CF1C91}" name="Saturday"/>
    <tableColumn id="8" xr3:uid="{0B0A3BBB-4FDA-4937-A421-44355A38BB43}" name="Sunday"/>
    <tableColumn id="9" xr3:uid="{5881D45F-14FD-4942-A605-CCAF63B57BBD}" name="Rest Day"/>
    <tableColumn id="10" xr3:uid="{D3C4AF83-161D-4EE9-B566-21CCDD9EBF69}" name="Break 1"/>
    <tableColumn id="11" xr3:uid="{B0B13C4A-6B6E-475B-B998-0ADE065B2B91}" name="Break 2"/>
    <tableColumn id="12" xr3:uid="{0CDAAE16-1C0F-4FD3-B353-4CD28DB5D767}" name="Lunch"/>
    <tableColumn id="13" xr3:uid="{B7F6EC5C-1FC1-4706-8CBB-CEE850D5ABD4}" name="Break 3"/>
    <tableColumn id="14" xr3:uid="{3A67763D-8488-42AB-A6C3-7B3553689CF6}" name="Supervisor"/>
    <tableColumn id="15" xr3:uid="{788BA475-03B2-4467-8034-514A22C0FD40}" name="Shift EST"/>
    <tableColumn id="16" xr3:uid="{BC94A528-2206-4BE6-847B-34EEFA941332}" name="Column1" dataDxfId="14">
      <calculatedColumnFormula>IF(O2="OFF",0,
IF(VALUE(LEFT(O2,2))&lt;12,0,1))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E4C5-4AB3-495A-BC0E-EE9A88F70393}">
  <dimension ref="A1:CR68"/>
  <sheetViews>
    <sheetView zoomScaleNormal="100" workbookViewId="0">
      <pane ySplit="1" topLeftCell="A2" activePane="bottomLeft" state="frozen"/>
      <selection pane="bottomLeft" activeCell="P19" sqref="P19:P20"/>
    </sheetView>
  </sheetViews>
  <sheetFormatPr defaultRowHeight="15" customHeight="1" x14ac:dyDescent="0.25"/>
  <cols>
    <col min="1" max="1" width="26.85546875" bestFit="1" customWidth="1"/>
    <col min="2" max="3" width="12.42578125" bestFit="1" customWidth="1"/>
    <col min="4" max="4" width="13.85546875" bestFit="1" customWidth="1"/>
    <col min="5" max="7" width="12.42578125" bestFit="1" customWidth="1"/>
    <col min="8" max="8" width="12.42578125" customWidth="1"/>
    <col min="9" max="9" width="14.85546875" customWidth="1"/>
    <col min="10" max="11" width="10" customWidth="1"/>
    <col min="12" max="12" width="8.85546875" customWidth="1"/>
    <col min="13" max="13" width="10" customWidth="1"/>
    <col min="14" max="14" width="20.28515625" customWidth="1"/>
    <col min="15" max="15" width="12.42578125" customWidth="1"/>
    <col min="16" max="16" width="11.5703125" customWidth="1"/>
  </cols>
  <sheetData>
    <row r="1" spans="1:96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2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t="s">
        <v>15</v>
      </c>
    </row>
    <row r="2" spans="1:96" x14ac:dyDescent="0.25">
      <c r="A2" s="6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18</v>
      </c>
      <c r="G2" s="1" t="s">
        <v>18</v>
      </c>
      <c r="H2" s="1" t="s">
        <v>18</v>
      </c>
      <c r="I2" s="2" t="str">
        <f t="shared" ref="I2:I19" si="0">_xlfn.TEXTJOIN(" - ",TRUE,
IF(B2="OFF","Mon",""),
IF(C2="OFF","Tue",""),
IF(D2="OFF","Wed",""),
IF(E2="OFF","Thu",""),
IF(F2="OFF","Fri",""),
IF(G2="OFF","Sat",""),
IF(H2="OFF","Sun",""))</f>
        <v>Fri - Sat - Sun</v>
      </c>
      <c r="J2" s="33">
        <v>0.1875</v>
      </c>
      <c r="K2" s="33">
        <v>0.28125</v>
      </c>
      <c r="L2" s="33">
        <v>8.3333333333333329E-2</v>
      </c>
      <c r="M2" s="33">
        <v>0.375</v>
      </c>
      <c r="N2" s="30" t="s">
        <v>19</v>
      </c>
      <c r="O2" s="1" t="s">
        <v>20</v>
      </c>
      <c r="P2">
        <f t="shared" ref="P2:P20" si="1">IF(O2="OFF",0,IF(VALUE(LEFT(O2,2))&lt;12,0,1))</f>
        <v>0</v>
      </c>
    </row>
    <row r="3" spans="1:96" x14ac:dyDescent="0.25">
      <c r="A3" s="6" t="s">
        <v>21</v>
      </c>
      <c r="B3" s="1" t="s">
        <v>18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18</v>
      </c>
      <c r="H3" s="1" t="s">
        <v>18</v>
      </c>
      <c r="I3" s="2" t="str">
        <f t="shared" si="0"/>
        <v>Mon - Sat - Sun</v>
      </c>
      <c r="J3" s="3">
        <v>0.72916666666666663</v>
      </c>
      <c r="K3" s="3">
        <v>0.79166666666666663</v>
      </c>
      <c r="L3" s="3">
        <v>0.89583333333333337</v>
      </c>
      <c r="M3" s="3">
        <v>2.0833333333333329E-2</v>
      </c>
      <c r="N3" s="30" t="s">
        <v>19</v>
      </c>
      <c r="O3" s="1" t="s">
        <v>22</v>
      </c>
      <c r="P3">
        <f t="shared" si="1"/>
        <v>1</v>
      </c>
    </row>
    <row r="4" spans="1:96" x14ac:dyDescent="0.25">
      <c r="A4" s="6" t="s">
        <v>23</v>
      </c>
      <c r="B4" s="1" t="s">
        <v>24</v>
      </c>
      <c r="C4" s="1" t="s">
        <v>24</v>
      </c>
      <c r="D4" s="1" t="s">
        <v>24</v>
      </c>
      <c r="E4" s="1" t="s">
        <v>24</v>
      </c>
      <c r="F4" s="1" t="s">
        <v>18</v>
      </c>
      <c r="G4" s="1" t="s">
        <v>18</v>
      </c>
      <c r="H4" s="1" t="s">
        <v>18</v>
      </c>
      <c r="I4" s="2" t="str">
        <f t="shared" si="0"/>
        <v>Fri - Sat - Sun</v>
      </c>
      <c r="J4" s="3">
        <v>0.41666666666666669</v>
      </c>
      <c r="K4" s="3">
        <v>0.5</v>
      </c>
      <c r="L4" s="3">
        <v>0.70833333333333337</v>
      </c>
      <c r="M4" s="3">
        <v>0.58333333333333337</v>
      </c>
      <c r="N4" s="4" t="s">
        <v>25</v>
      </c>
      <c r="O4" s="1" t="s">
        <v>24</v>
      </c>
      <c r="P4">
        <f t="shared" si="1"/>
        <v>0</v>
      </c>
    </row>
    <row r="5" spans="1:96" x14ac:dyDescent="0.25">
      <c r="A5" s="6" t="s">
        <v>26</v>
      </c>
      <c r="B5" s="1" t="s">
        <v>27</v>
      </c>
      <c r="C5" s="1" t="s">
        <v>27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27</v>
      </c>
      <c r="I5" s="2" t="str">
        <f t="shared" si="0"/>
        <v>Wed - Thu - Fri</v>
      </c>
      <c r="J5" s="3">
        <v>0.61458333333333337</v>
      </c>
      <c r="K5" s="3">
        <v>0.69791666666666663</v>
      </c>
      <c r="L5" s="3">
        <v>0.77083333333333337</v>
      </c>
      <c r="M5" s="3">
        <v>0.89583333333333337</v>
      </c>
      <c r="N5" s="30" t="s">
        <v>19</v>
      </c>
      <c r="O5" s="1" t="s">
        <v>27</v>
      </c>
      <c r="P5">
        <f t="shared" si="1"/>
        <v>1</v>
      </c>
    </row>
    <row r="6" spans="1:96" x14ac:dyDescent="0.25">
      <c r="A6" s="6" t="s">
        <v>28</v>
      </c>
      <c r="B6" s="1" t="s">
        <v>18</v>
      </c>
      <c r="C6" s="1" t="s">
        <v>18</v>
      </c>
      <c r="D6" s="1" t="s">
        <v>29</v>
      </c>
      <c r="E6" s="1" t="s">
        <v>29</v>
      </c>
      <c r="F6" s="1" t="s">
        <v>29</v>
      </c>
      <c r="G6" s="1" t="s">
        <v>29</v>
      </c>
      <c r="H6" s="1" t="s">
        <v>18</v>
      </c>
      <c r="I6" s="2" t="str">
        <f t="shared" si="0"/>
        <v>Mon - Tue - Sun</v>
      </c>
      <c r="J6" s="3">
        <v>0.38541666666666669</v>
      </c>
      <c r="K6" s="3">
        <v>0.48958333333333331</v>
      </c>
      <c r="L6" s="3">
        <v>0.25</v>
      </c>
      <c r="M6" s="3">
        <v>0.57291666666666663</v>
      </c>
      <c r="N6" s="30" t="s">
        <v>19</v>
      </c>
      <c r="O6" s="1" t="s">
        <v>29</v>
      </c>
      <c r="P6">
        <f t="shared" si="1"/>
        <v>0</v>
      </c>
    </row>
    <row r="7" spans="1:96" s="13" customFormat="1" x14ac:dyDescent="0.25">
      <c r="A7" s="6" t="s">
        <v>30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18</v>
      </c>
      <c r="G7" s="1" t="s">
        <v>18</v>
      </c>
      <c r="H7" s="1" t="s">
        <v>18</v>
      </c>
      <c r="I7" s="2" t="str">
        <f t="shared" si="0"/>
        <v>Fri - Sat - Sun</v>
      </c>
      <c r="J7" s="3">
        <v>0.79166666666666663</v>
      </c>
      <c r="K7" s="3">
        <v>0.53125</v>
      </c>
      <c r="L7" s="3">
        <v>0.92708333333333337</v>
      </c>
      <c r="M7" s="3">
        <v>0.1145833333333333</v>
      </c>
      <c r="N7" s="30" t="s">
        <v>19</v>
      </c>
      <c r="O7" s="1" t="s">
        <v>31</v>
      </c>
      <c r="P7">
        <f t="shared" si="1"/>
        <v>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 spans="1:96" x14ac:dyDescent="0.25">
      <c r="A8" s="6" t="s">
        <v>32</v>
      </c>
      <c r="B8" s="1" t="s">
        <v>31</v>
      </c>
      <c r="C8" s="1" t="s">
        <v>31</v>
      </c>
      <c r="D8" s="1" t="s">
        <v>31</v>
      </c>
      <c r="E8" s="1" t="s">
        <v>18</v>
      </c>
      <c r="F8" s="1" t="s">
        <v>18</v>
      </c>
      <c r="G8" s="1" t="s">
        <v>18</v>
      </c>
      <c r="H8" s="1" t="s">
        <v>31</v>
      </c>
      <c r="I8" s="2" t="str">
        <f t="shared" si="0"/>
        <v>Thu - Fri - Sat</v>
      </c>
      <c r="J8" s="3">
        <v>0.8125</v>
      </c>
      <c r="K8" s="3">
        <v>0.40625</v>
      </c>
      <c r="L8" s="3">
        <v>4.1666666666666657E-2</v>
      </c>
      <c r="M8" s="3">
        <v>0.13541666666666671</v>
      </c>
      <c r="N8" s="30" t="s">
        <v>19</v>
      </c>
      <c r="O8" s="1" t="s">
        <v>31</v>
      </c>
      <c r="P8">
        <f t="shared" si="1"/>
        <v>1</v>
      </c>
    </row>
    <row r="9" spans="1:96" x14ac:dyDescent="0.25">
      <c r="A9" s="6" t="s">
        <v>33</v>
      </c>
      <c r="B9" s="1" t="s">
        <v>18</v>
      </c>
      <c r="C9" s="1" t="s">
        <v>18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18</v>
      </c>
      <c r="I9" s="2" t="str">
        <f t="shared" si="0"/>
        <v>Mon - Tue - Sun</v>
      </c>
      <c r="J9" s="3">
        <v>0.59375</v>
      </c>
      <c r="K9" s="3">
        <v>0.6875</v>
      </c>
      <c r="L9" s="3">
        <v>0.78125</v>
      </c>
      <c r="M9" s="3">
        <v>0.89583333333333337</v>
      </c>
      <c r="N9" s="42" t="s">
        <v>35</v>
      </c>
      <c r="O9" s="1" t="s">
        <v>34</v>
      </c>
      <c r="P9">
        <f t="shared" si="1"/>
        <v>1</v>
      </c>
    </row>
    <row r="10" spans="1:96" x14ac:dyDescent="0.25">
      <c r="A10" s="6" t="s">
        <v>36</v>
      </c>
      <c r="B10" s="1" t="s">
        <v>29</v>
      </c>
      <c r="C10" s="1" t="s">
        <v>29</v>
      </c>
      <c r="D10" s="1" t="s">
        <v>29</v>
      </c>
      <c r="E10" s="1" t="s">
        <v>18</v>
      </c>
      <c r="F10" s="1" t="s">
        <v>18</v>
      </c>
      <c r="G10" s="1" t="s">
        <v>18</v>
      </c>
      <c r="H10" s="1" t="s">
        <v>29</v>
      </c>
      <c r="I10" s="2" t="str">
        <f t="shared" si="0"/>
        <v>Thu - Fri - Sat</v>
      </c>
      <c r="J10" s="3">
        <v>0.22916666666666671</v>
      </c>
      <c r="K10" s="3">
        <v>0.4375</v>
      </c>
      <c r="L10" s="3">
        <v>0.29166666666666669</v>
      </c>
      <c r="M10" s="3">
        <v>0.53125</v>
      </c>
      <c r="N10" s="4" t="s">
        <v>25</v>
      </c>
      <c r="O10" s="1" t="s">
        <v>29</v>
      </c>
      <c r="P10">
        <f t="shared" si="1"/>
        <v>0</v>
      </c>
    </row>
    <row r="11" spans="1:96" x14ac:dyDescent="0.25">
      <c r="A11" s="16" t="s">
        <v>37</v>
      </c>
      <c r="B11" s="1" t="s">
        <v>18</v>
      </c>
      <c r="C11" s="1" t="s">
        <v>18</v>
      </c>
      <c r="D11" s="1" t="s">
        <v>18</v>
      </c>
      <c r="E11" s="40" t="s">
        <v>31</v>
      </c>
      <c r="F11" s="5" t="s">
        <v>31</v>
      </c>
      <c r="G11" s="5" t="s">
        <v>31</v>
      </c>
      <c r="H11" s="5" t="s">
        <v>31</v>
      </c>
      <c r="I11" s="2" t="str">
        <f t="shared" si="0"/>
        <v>Mon - Tue - Wed</v>
      </c>
      <c r="J11" s="3">
        <v>0.82291666666666663</v>
      </c>
      <c r="K11" s="3">
        <v>0.91666666666666663</v>
      </c>
      <c r="L11" s="3">
        <v>0</v>
      </c>
      <c r="M11" s="3">
        <v>0.1041666666666667</v>
      </c>
      <c r="N11" s="30" t="s">
        <v>19</v>
      </c>
      <c r="O11" s="5" t="s">
        <v>31</v>
      </c>
      <c r="P11">
        <f t="shared" si="1"/>
        <v>1</v>
      </c>
    </row>
    <row r="12" spans="1:96" x14ac:dyDescent="0.25">
      <c r="A12" s="6" t="s">
        <v>38</v>
      </c>
      <c r="B12" s="1" t="s">
        <v>18</v>
      </c>
      <c r="C12" s="1" t="s">
        <v>39</v>
      </c>
      <c r="D12" s="1" t="s">
        <v>39</v>
      </c>
      <c r="E12" s="1" t="s">
        <v>39</v>
      </c>
      <c r="F12" s="1" t="s">
        <v>39</v>
      </c>
      <c r="G12" s="1" t="s">
        <v>18</v>
      </c>
      <c r="H12" s="1" t="s">
        <v>18</v>
      </c>
      <c r="I12" s="2" t="str">
        <f t="shared" si="0"/>
        <v>Mon - Sat - Sun</v>
      </c>
      <c r="J12" s="3">
        <v>0.29166666666666669</v>
      </c>
      <c r="K12" s="3">
        <v>0.375</v>
      </c>
      <c r="L12" s="3">
        <v>0.16666666666666671</v>
      </c>
      <c r="M12" s="3">
        <v>0.47916666666666669</v>
      </c>
      <c r="N12" s="30" t="s">
        <v>19</v>
      </c>
      <c r="O12" s="1" t="s">
        <v>39</v>
      </c>
      <c r="P12">
        <f t="shared" si="1"/>
        <v>0</v>
      </c>
    </row>
    <row r="13" spans="1:96" x14ac:dyDescent="0.25">
      <c r="A13" s="6" t="s">
        <v>40</v>
      </c>
      <c r="B13" s="1" t="s">
        <v>22</v>
      </c>
      <c r="C13" s="1" t="s">
        <v>18</v>
      </c>
      <c r="D13" s="1" t="s">
        <v>18</v>
      </c>
      <c r="E13" s="1" t="s">
        <v>18</v>
      </c>
      <c r="F13" s="1" t="s">
        <v>22</v>
      </c>
      <c r="G13" s="1" t="s">
        <v>22</v>
      </c>
      <c r="H13" s="1" t="s">
        <v>22</v>
      </c>
      <c r="I13" s="2" t="str">
        <f t="shared" si="0"/>
        <v>Tue - Wed - Thu</v>
      </c>
      <c r="J13" s="3">
        <v>0.73958333333333337</v>
      </c>
      <c r="K13" s="3">
        <v>0.80208333333333337</v>
      </c>
      <c r="L13" s="3">
        <v>0.96875</v>
      </c>
      <c r="M13" s="3">
        <v>0.86458333333333337</v>
      </c>
      <c r="N13" s="4" t="s">
        <v>25</v>
      </c>
      <c r="O13" s="1" t="s">
        <v>22</v>
      </c>
      <c r="P13">
        <f t="shared" si="1"/>
        <v>1</v>
      </c>
    </row>
    <row r="14" spans="1:96" x14ac:dyDescent="0.25">
      <c r="A14" s="6" t="s">
        <v>41</v>
      </c>
      <c r="B14" s="1" t="s">
        <v>29</v>
      </c>
      <c r="C14" s="1" t="s">
        <v>29</v>
      </c>
      <c r="D14" s="1" t="s">
        <v>18</v>
      </c>
      <c r="E14" s="1" t="s">
        <v>18</v>
      </c>
      <c r="F14" s="1" t="s">
        <v>18</v>
      </c>
      <c r="G14" s="1" t="s">
        <v>29</v>
      </c>
      <c r="H14" s="1" t="s">
        <v>29</v>
      </c>
      <c r="I14" s="2" t="str">
        <f t="shared" si="0"/>
        <v>Wed - Thu - Fri</v>
      </c>
      <c r="J14" s="3">
        <v>0.26041666666666669</v>
      </c>
      <c r="K14" s="3">
        <v>0.46875</v>
      </c>
      <c r="L14" s="3">
        <v>0.33333333333333331</v>
      </c>
      <c r="M14" s="3">
        <v>0.5625</v>
      </c>
      <c r="N14" s="4" t="s">
        <v>42</v>
      </c>
      <c r="O14" s="1" t="s">
        <v>29</v>
      </c>
      <c r="P14">
        <f t="shared" si="1"/>
        <v>0</v>
      </c>
    </row>
    <row r="15" spans="1:96" x14ac:dyDescent="0.25">
      <c r="A15" s="6" t="s">
        <v>43</v>
      </c>
      <c r="B15" s="1" t="s">
        <v>17</v>
      </c>
      <c r="C15" s="1" t="s">
        <v>18</v>
      </c>
      <c r="D15" s="1" t="s">
        <v>18</v>
      </c>
      <c r="E15" s="1" t="s">
        <v>18</v>
      </c>
      <c r="F15" s="1" t="s">
        <v>17</v>
      </c>
      <c r="G15" s="1" t="s">
        <v>17</v>
      </c>
      <c r="H15" s="1" t="s">
        <v>17</v>
      </c>
      <c r="I15" s="2" t="str">
        <f t="shared" si="0"/>
        <v>Tue - Wed - Thu</v>
      </c>
      <c r="J15" s="3">
        <v>7.2916666666666671E-2</v>
      </c>
      <c r="K15" s="3">
        <v>0.27083333333333331</v>
      </c>
      <c r="L15" s="3">
        <v>0.14583333333333334</v>
      </c>
      <c r="M15" s="3">
        <v>0.36458333333333331</v>
      </c>
      <c r="N15" s="30" t="s">
        <v>19</v>
      </c>
      <c r="O15" s="1" t="s">
        <v>17</v>
      </c>
      <c r="P15">
        <f t="shared" si="1"/>
        <v>0</v>
      </c>
    </row>
    <row r="16" spans="1:96" x14ac:dyDescent="0.25">
      <c r="A16" s="6" t="s">
        <v>44</v>
      </c>
      <c r="B16" s="1" t="s">
        <v>45</v>
      </c>
      <c r="C16" s="1" t="s">
        <v>18</v>
      </c>
      <c r="D16" s="1" t="s">
        <v>18</v>
      </c>
      <c r="E16" s="1" t="s">
        <v>45</v>
      </c>
      <c r="F16" s="1" t="s">
        <v>18</v>
      </c>
      <c r="G16" s="1" t="s">
        <v>45</v>
      </c>
      <c r="H16" s="1" t="s">
        <v>45</v>
      </c>
      <c r="I16" s="2" t="str">
        <f t="shared" si="0"/>
        <v>Tue - Wed - Fri</v>
      </c>
      <c r="J16" s="3">
        <v>0.44791666666666669</v>
      </c>
      <c r="K16" s="3">
        <v>0.51041666666666663</v>
      </c>
      <c r="L16" s="3">
        <v>0.32291666666666669</v>
      </c>
      <c r="M16" s="3">
        <v>0.63541666666666663</v>
      </c>
      <c r="N16" s="4" t="s">
        <v>46</v>
      </c>
      <c r="O16" s="1" t="s">
        <v>45</v>
      </c>
      <c r="P16">
        <f t="shared" si="1"/>
        <v>0</v>
      </c>
    </row>
    <row r="17" spans="1:16" x14ac:dyDescent="0.25">
      <c r="A17" s="6" t="s">
        <v>47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18</v>
      </c>
      <c r="G17" s="1" t="s">
        <v>18</v>
      </c>
      <c r="H17" s="1" t="s">
        <v>18</v>
      </c>
      <c r="I17" s="2" t="str">
        <f t="shared" si="0"/>
        <v>Fri - Sat - Sun</v>
      </c>
      <c r="J17" s="3">
        <v>0.63541666666666663</v>
      </c>
      <c r="K17" s="3">
        <v>0.71875</v>
      </c>
      <c r="L17" s="3">
        <v>0.8125</v>
      </c>
      <c r="M17" s="3">
        <v>0.91666666666666663</v>
      </c>
      <c r="N17" s="4" t="s">
        <v>48</v>
      </c>
      <c r="O17" s="1" t="s">
        <v>27</v>
      </c>
      <c r="P17">
        <f t="shared" si="1"/>
        <v>1</v>
      </c>
    </row>
    <row r="18" spans="1:16" x14ac:dyDescent="0.25">
      <c r="A18" s="6" t="s">
        <v>49</v>
      </c>
      <c r="B18" s="1" t="s">
        <v>50</v>
      </c>
      <c r="C18" s="1" t="s">
        <v>50</v>
      </c>
      <c r="D18" s="1" t="s">
        <v>18</v>
      </c>
      <c r="E18" s="41" t="s">
        <v>50</v>
      </c>
      <c r="F18" s="1" t="s">
        <v>50</v>
      </c>
      <c r="G18" s="1" t="s">
        <v>18</v>
      </c>
      <c r="H18" s="1" t="s">
        <v>18</v>
      </c>
      <c r="I18" s="2" t="str">
        <f t="shared" si="0"/>
        <v>Wed - Sat - Sun</v>
      </c>
      <c r="J18" s="3">
        <v>0.53125</v>
      </c>
      <c r="K18" s="3">
        <v>0.64583333333333337</v>
      </c>
      <c r="L18" s="3">
        <v>0.73958333333333337</v>
      </c>
      <c r="M18" s="3">
        <v>0.84375</v>
      </c>
      <c r="N18" s="4" t="s">
        <v>46</v>
      </c>
      <c r="O18" s="1" t="s">
        <v>50</v>
      </c>
      <c r="P18">
        <f t="shared" si="1"/>
        <v>0</v>
      </c>
    </row>
    <row r="19" spans="1:16" x14ac:dyDescent="0.25">
      <c r="A19" s="6" t="s">
        <v>51</v>
      </c>
      <c r="B19" s="1" t="s">
        <v>52</v>
      </c>
      <c r="C19" s="1" t="s">
        <v>52</v>
      </c>
      <c r="D19" s="1" t="s">
        <v>52</v>
      </c>
      <c r="E19" s="1" t="s">
        <v>52</v>
      </c>
      <c r="F19" s="1" t="s">
        <v>18</v>
      </c>
      <c r="G19" s="1" t="s">
        <v>18</v>
      </c>
      <c r="H19" s="1" t="s">
        <v>18</v>
      </c>
      <c r="I19" s="2" t="str">
        <f t="shared" si="0"/>
        <v>Fri - Sat - Sun</v>
      </c>
      <c r="J19" s="3">
        <v>0.4375</v>
      </c>
      <c r="K19" s="3">
        <v>0.52083333333333337</v>
      </c>
      <c r="L19" s="3">
        <v>0.66666666666666663</v>
      </c>
      <c r="M19" s="3">
        <v>0.625</v>
      </c>
      <c r="N19" s="4" t="s">
        <v>46</v>
      </c>
      <c r="O19" s="1" t="s">
        <v>52</v>
      </c>
      <c r="P19">
        <f t="shared" si="1"/>
        <v>0</v>
      </c>
    </row>
    <row r="20" spans="1:16" x14ac:dyDescent="0.25">
      <c r="A20" s="6" t="s">
        <v>69</v>
      </c>
      <c r="B20" s="1" t="s">
        <v>18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18</v>
      </c>
      <c r="H20" s="1" t="s">
        <v>18</v>
      </c>
      <c r="I20" s="2" t="str">
        <f>_xlfn.TEXTJOIN(" - ",TRUE,
IF(B20="OFF","Mon",""),
IF(C20="OFF","Tue",""),
IF(D20="OFF","Wed",""),
IF(E20="OFF","Thu",""),
IF(F20="OFF","Fri",""),
IF(G20="OFF","Sat",""),
IF(H20="OFF","Sun",""))</f>
        <v>Mon - Sat - Sun</v>
      </c>
      <c r="J20" s="3">
        <v>0.8125</v>
      </c>
      <c r="K20" s="3">
        <v>0.40625</v>
      </c>
      <c r="L20" s="3">
        <v>4.1666666666666664E-2</v>
      </c>
      <c r="M20" s="3">
        <v>0.13541666666666666</v>
      </c>
      <c r="N20" s="4" t="s">
        <v>25</v>
      </c>
      <c r="O20" s="1" t="s">
        <v>31</v>
      </c>
      <c r="P20">
        <f t="shared" si="1"/>
        <v>1</v>
      </c>
    </row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</sheetData>
  <phoneticPr fontId="7" type="noConversion"/>
  <conditionalFormatting sqref="A2:A10 B2:I17 A12:A19 B18:D18 F18:I18 B19:I19 A20:I20 O2:O20">
    <cfRule type="cellIs" dxfId="13" priority="55" operator="equal">
      <formula>"OFF"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C52C-27C0-45B0-B89A-D9ECF8590EEA}">
  <dimension ref="A1:P20"/>
  <sheetViews>
    <sheetView tabSelected="1" zoomScale="85" zoomScaleNormal="85" workbookViewId="0">
      <selection activeCell="P32" sqref="P32"/>
    </sheetView>
  </sheetViews>
  <sheetFormatPr defaultColWidth="9.140625" defaultRowHeight="15" x14ac:dyDescent="0.25"/>
  <cols>
    <col min="1" max="1" width="26.85546875" bestFit="1" customWidth="1"/>
    <col min="2" max="3" width="13" customWidth="1"/>
    <col min="4" max="4" width="13.85546875" customWidth="1"/>
    <col min="5" max="8" width="13" customWidth="1"/>
    <col min="9" max="9" width="20" customWidth="1"/>
    <col min="10" max="11" width="10" customWidth="1"/>
    <col min="12" max="12" width="9.140625" customWidth="1"/>
    <col min="13" max="13" width="10" customWidth="1"/>
    <col min="14" max="14" width="20.42578125" bestFit="1" customWidth="1"/>
    <col min="15" max="15" width="13.28515625" bestFit="1" customWidth="1"/>
    <col min="16" max="16" width="10.140625" bestFit="1" customWidth="1"/>
  </cols>
  <sheetData>
    <row r="1" spans="1:16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53</v>
      </c>
      <c r="P1" s="34" t="s">
        <v>54</v>
      </c>
    </row>
    <row r="2" spans="1:16" x14ac:dyDescent="0.25">
      <c r="A2" s="35" t="str">
        <f>Table2[[#This Row],[Name]]</f>
        <v>April Cinco</v>
      </c>
      <c r="B2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12:00 - 23:00</v>
      </c>
      <c r="C2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12:00 - 23:00</v>
      </c>
      <c r="D2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12:00 - 23:00</v>
      </c>
      <c r="E2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12:00 - 23:00</v>
      </c>
      <c r="F2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2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" s="35" t="str">
        <f>_xlfn.TEXTJOIN(" - ",TRUE,
IF(B2="OFF","Mon",""),
IF(C2="OFF","Tue",""),
IF(D2="OFF","Wed",""),
IF(E2="OFF","Thu",""),
IF(F2="OFF","Fri",""),
IF(G2="OFF","Sat",""),
IF(H2="OFF","Sun",""))</f>
        <v>Fri - Sat - Sun</v>
      </c>
      <c r="J2" s="36">
        <f>MOD(Table2[[#This Row],[Break 1]]+TIME(12,0,0),1)</f>
        <v>0.6875</v>
      </c>
      <c r="K2" s="36">
        <f>MOD(Table2[[#This Row],[Break 2]]+TIME(12,0,0),1)</f>
        <v>0.78125</v>
      </c>
      <c r="L2" s="36">
        <f>MOD(Table2[[#This Row],[Lunch]]+TIME(12,0,0),1)</f>
        <v>0.58333333333333337</v>
      </c>
      <c r="M2" s="36">
        <f>MOD(Table2[[#This Row],[Break 3]]+TIME(12,0,0),1)</f>
        <v>0.875</v>
      </c>
      <c r="N2" s="35" t="str">
        <f>Table2[[#This Row],[Supervisor]]</f>
        <v>Christopher Borromeo</v>
      </c>
      <c r="O2" s="35" t="s">
        <v>34</v>
      </c>
      <c r="P2" s="35">
        <f>IF(TIMEVALUE(LEFT(O2,FIND("-",O2)-1))&gt;=12/24,0,1)</f>
        <v>0</v>
      </c>
    </row>
    <row r="3" spans="1:16" x14ac:dyDescent="0.25">
      <c r="A3" s="35" t="str">
        <f>Table2[[#This Row],[Name]]</f>
        <v>Asleth Montemayor</v>
      </c>
      <c r="B3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3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3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03:00 - 14:00</v>
      </c>
      <c r="E3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03:00 - 14:00</v>
      </c>
      <c r="F3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03:00 - 14:00</v>
      </c>
      <c r="G3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03:00 - 14:00</v>
      </c>
      <c r="H3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" s="35" t="str">
        <f t="shared" ref="I3:I4" si="0">_xlfn.TEXTJOIN(" - ",TRUE,
IF(B3="OFF","Mon",""),
IF(C3="OFF","Tue",""),
IF(D3="OFF","Wed",""),
IF(E3="OFF","Thu",""),
IF(F3="OFF","Fri",""),
IF(G3="OFF","Sat",""),
IF(H3="OFF","Sun",""))</f>
        <v>Mon - Tue - Sun</v>
      </c>
      <c r="J3" s="36">
        <f>MOD(Table2[[#This Row],[Break 1]]+TIME(12,0,0),1)</f>
        <v>0.22916666666666652</v>
      </c>
      <c r="K3" s="36">
        <f>MOD(Table2[[#This Row],[Break 2]]+TIME(12,0,0),1)</f>
        <v>0.29166666666666652</v>
      </c>
      <c r="L3" s="36">
        <f>MOD(Table2[[#This Row],[Lunch]]+TIME(12,0,0),1)</f>
        <v>0.39583333333333348</v>
      </c>
      <c r="M3" s="36">
        <f>MOD(Table2[[#This Row],[Break 3]]+TIME(12,0,0),1)</f>
        <v>0.52083333333333337</v>
      </c>
      <c r="N3" s="35" t="str">
        <f>Table2[[#This Row],[Supervisor]]</f>
        <v>Christopher Borromeo</v>
      </c>
      <c r="O3" s="35" t="s">
        <v>55</v>
      </c>
      <c r="P3" s="35">
        <f t="shared" ref="P3:P19" si="1">IF(TIMEVALUE(LEFT(O3,FIND("-",O3)-1))&gt;=12/24,0,1)</f>
        <v>1</v>
      </c>
    </row>
    <row r="4" spans="1:16" x14ac:dyDescent="0.25">
      <c r="A4" s="35" t="str">
        <f>Table2[[#This Row],[Name]]</f>
        <v>Brenda Lyn Degracia</v>
      </c>
      <c r="B4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20:00 - 07:00</v>
      </c>
      <c r="C4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20:00 - 07:00</v>
      </c>
      <c r="D4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20:00 - 07:00</v>
      </c>
      <c r="E4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20:00 - 07:00</v>
      </c>
      <c r="F4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" s="35" t="str">
        <f t="shared" si="0"/>
        <v>Fri - Sat - Sun</v>
      </c>
      <c r="J4" s="36">
        <f>MOD(Table2[[#This Row],[Break 1]]+TIME(12,0,0),1)</f>
        <v>0.91666666666666674</v>
      </c>
      <c r="K4" s="36">
        <f>MOD(Table2[[#This Row],[Break 2]]+TIME(12,0,0),1)</f>
        <v>0</v>
      </c>
      <c r="L4" s="36">
        <f>MOD(Table2[[#This Row],[Lunch]]+TIME(12,0,0),1)</f>
        <v>0.20833333333333348</v>
      </c>
      <c r="M4" s="36">
        <f>MOD(Table2[[#This Row],[Break 3]]+TIME(12,0,0),1)</f>
        <v>8.3333333333333481E-2</v>
      </c>
      <c r="N4" s="35" t="str">
        <f>Table2[[#This Row],[Supervisor]]</f>
        <v>Michael Dominguez</v>
      </c>
      <c r="O4" s="35" t="s">
        <v>56</v>
      </c>
      <c r="P4" s="35">
        <f t="shared" si="1"/>
        <v>0</v>
      </c>
    </row>
    <row r="5" spans="1:16" x14ac:dyDescent="0.25">
      <c r="A5" s="35" t="str">
        <f>Table2[[#This Row],[Name]]</f>
        <v>Contessa Cirujales</v>
      </c>
      <c r="B5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01:00 - 12:00</v>
      </c>
      <c r="C5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01:00 - 12:00</v>
      </c>
      <c r="D5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01:00 - 12:00</v>
      </c>
      <c r="E5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5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5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01:00 - 12:00</v>
      </c>
      <c r="I5" s="35" t="str">
        <f t="shared" ref="I5:I19" si="2">_xlfn.TEXTJOIN(" - ",TRUE,
IF(B5="OFF","Mon",""),
IF(C5="OFF","Tue",""),
IF(D5="OFF","Wed",""),
IF(E5="OFF","Thu",""),
IF(F5="OFF","Fri",""),
IF(G5="OFF","Sat",""),
IF(H5="OFF","Sun",""))</f>
        <v>Thu - Fri - Sat</v>
      </c>
      <c r="J5" s="36">
        <f>MOD(Table2[[#This Row],[Break 1]]+TIME(12,0,0),1)</f>
        <v>0.11458333333333348</v>
      </c>
      <c r="K5" s="36">
        <f>MOD(Table2[[#This Row],[Break 2]]+TIME(12,0,0),1)</f>
        <v>0.19791666666666652</v>
      </c>
      <c r="L5" s="36">
        <f>MOD(Table2[[#This Row],[Lunch]]+TIME(12,0,0),1)</f>
        <v>0.27083333333333348</v>
      </c>
      <c r="M5" s="36">
        <f>MOD(Table2[[#This Row],[Break 3]]+TIME(12,0,0),1)</f>
        <v>0.39583333333333348</v>
      </c>
      <c r="N5" s="35" t="str">
        <f>Table2[[#This Row],[Supervisor]]</f>
        <v>Christopher Borromeo</v>
      </c>
      <c r="O5" s="35" t="s">
        <v>20</v>
      </c>
      <c r="P5" s="35">
        <f t="shared" si="1"/>
        <v>1</v>
      </c>
    </row>
    <row r="6" spans="1:16" x14ac:dyDescent="0.25">
      <c r="A6" s="35" t="str">
        <f>Table2[[#This Row],[Name]]</f>
        <v>Janice Martirez</v>
      </c>
      <c r="B6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6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16:00 - 03:00</v>
      </c>
      <c r="E6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16:00 - 03:00</v>
      </c>
      <c r="F6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16:00 - 03:00</v>
      </c>
      <c r="G6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16:00 - 03:00</v>
      </c>
      <c r="H6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6" s="35" t="str">
        <f t="shared" si="2"/>
        <v>Mon - Tue - Sun</v>
      </c>
      <c r="J6" s="36">
        <f>MOD(Table2[[#This Row],[Break 1]]+TIME(12,0,0),1)</f>
        <v>0.88541666666666674</v>
      </c>
      <c r="K6" s="36">
        <f>MOD(Table2[[#This Row],[Break 2]]+TIME(12,0,0),1)</f>
        <v>0.98958333333333326</v>
      </c>
      <c r="L6" s="36">
        <f>MOD(Table2[[#This Row],[Lunch]]+TIME(12,0,0),1)</f>
        <v>0.75</v>
      </c>
      <c r="M6" s="36">
        <f>MOD(Table2[[#This Row],[Break 3]]+TIME(12,0,0),1)</f>
        <v>7.2916666666666519E-2</v>
      </c>
      <c r="N6" s="35" t="str">
        <f>Table2[[#This Row],[Supervisor]]</f>
        <v>Christopher Borromeo</v>
      </c>
      <c r="O6" s="35" t="s">
        <v>57</v>
      </c>
      <c r="P6" s="35">
        <f t="shared" si="1"/>
        <v>0</v>
      </c>
    </row>
    <row r="7" spans="1:16" x14ac:dyDescent="0.25">
      <c r="A7" s="35" t="str">
        <f>Table2[[#This Row],[Name]]</f>
        <v>Jarrah Jane De Castro</v>
      </c>
      <c r="B7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7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05:00 - 16:00</v>
      </c>
      <c r="D7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05:00 - 16:00</v>
      </c>
      <c r="E7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05:00 - 16:00</v>
      </c>
      <c r="F7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05:00 - 16:00</v>
      </c>
      <c r="G7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7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7" s="35" t="str">
        <f t="shared" si="2"/>
        <v>Mon - Sat - Sun</v>
      </c>
      <c r="J7" s="36">
        <f>MOD(Table2[[#This Row],[Break 1]]+TIME(12,0,0),1)</f>
        <v>0.29166666666666652</v>
      </c>
      <c r="K7" s="36">
        <f>MOD(Table2[[#This Row],[Break 2]]+TIME(12,0,0),1)</f>
        <v>3.125E-2</v>
      </c>
      <c r="L7" s="36">
        <f>MOD(Table2[[#This Row],[Lunch]]+TIME(12,0,0),1)</f>
        <v>0.42708333333333348</v>
      </c>
      <c r="M7" s="36">
        <f>MOD(Table2[[#This Row],[Break 3]]+TIME(12,0,0),1)</f>
        <v>0.61458333333333326</v>
      </c>
      <c r="N7" s="35" t="str">
        <f>Table2[[#This Row],[Supervisor]]</f>
        <v>Christopher Borromeo</v>
      </c>
      <c r="O7" s="35" t="s">
        <v>58</v>
      </c>
      <c r="P7" s="35">
        <f t="shared" si="1"/>
        <v>1</v>
      </c>
    </row>
    <row r="8" spans="1:16" x14ac:dyDescent="0.25">
      <c r="A8" s="35" t="str">
        <f>Table2[[#This Row],[Name]]</f>
        <v>Jessica Mary Acuna</v>
      </c>
      <c r="B8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05:00 - 16:00</v>
      </c>
      <c r="C8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05:00 - 16:00</v>
      </c>
      <c r="D8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05:00 - 16:00</v>
      </c>
      <c r="E8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05:00 - 16:00</v>
      </c>
      <c r="F8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8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8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8" s="35" t="str">
        <f t="shared" si="2"/>
        <v>Fri - Sat - Sun</v>
      </c>
      <c r="J8" s="36">
        <f>MOD(Table2[[#This Row],[Break 1]]+TIME(12,0,0),1)</f>
        <v>0.3125</v>
      </c>
      <c r="K8" s="36">
        <f>MOD(Table2[[#This Row],[Break 2]]+TIME(12,0,0),1)</f>
        <v>0.90625</v>
      </c>
      <c r="L8" s="36">
        <f>MOD(Table2[[#This Row],[Lunch]]+TIME(12,0,0),1)</f>
        <v>0.54166666666666663</v>
      </c>
      <c r="M8" s="36">
        <f>MOD(Table2[[#This Row],[Break 3]]+TIME(12,0,0),1)</f>
        <v>0.63541666666666674</v>
      </c>
      <c r="N8" s="35" t="str">
        <f>Table2[[#This Row],[Supervisor]]</f>
        <v>Christopher Borromeo</v>
      </c>
      <c r="O8" s="35" t="s">
        <v>58</v>
      </c>
      <c r="P8" s="35">
        <f t="shared" si="1"/>
        <v>1</v>
      </c>
    </row>
    <row r="9" spans="1:16" x14ac:dyDescent="0.25">
      <c r="A9" s="35" t="str">
        <f>Table2[[#This Row],[Name]]</f>
        <v>Jewel Lei Sara</v>
      </c>
      <c r="B9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9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9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9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00:00 - 11:00</v>
      </c>
      <c r="F9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00:00 - 11:00</v>
      </c>
      <c r="G9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00:00 - 11:00</v>
      </c>
      <c r="H9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00:00 - 11:00</v>
      </c>
      <c r="I9" s="35" t="str">
        <f t="shared" si="2"/>
        <v>Mon - Tue - Wed</v>
      </c>
      <c r="J9" s="36">
        <f>MOD(Table2[[#This Row],[Break 1]]+TIME(12,0,0),1)</f>
        <v>9.375E-2</v>
      </c>
      <c r="K9" s="36">
        <f>MOD(Table2[[#This Row],[Break 2]]+TIME(12,0,0),1)</f>
        <v>0.1875</v>
      </c>
      <c r="L9" s="36">
        <f>MOD(Table2[[#This Row],[Lunch]]+TIME(12,0,0),1)</f>
        <v>0.28125</v>
      </c>
      <c r="M9" s="36">
        <f>MOD(Table2[[#This Row],[Break 3]]+TIME(12,0,0),1)</f>
        <v>0.39583333333333348</v>
      </c>
      <c r="N9" s="35" t="str">
        <f>Table2[[#This Row],[Supervisor]]</f>
        <v>Christopher Rodas</v>
      </c>
      <c r="O9" s="35" t="s">
        <v>17</v>
      </c>
      <c r="P9" s="35">
        <f t="shared" si="1"/>
        <v>1</v>
      </c>
    </row>
    <row r="10" spans="1:16" x14ac:dyDescent="0.25">
      <c r="A10" s="35" t="str">
        <f>Table2[[#This Row],[Name]]</f>
        <v>Jhon Lloyd Camero</v>
      </c>
      <c r="B10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16:00 - 03:00</v>
      </c>
      <c r="C10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16:00 - 03:00</v>
      </c>
      <c r="D10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16:00 - 03:00</v>
      </c>
      <c r="E10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0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0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0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16:00 - 03:00</v>
      </c>
      <c r="I10" s="35" t="str">
        <f t="shared" si="2"/>
        <v>Thu - Fri - Sat</v>
      </c>
      <c r="J10" s="36">
        <f>MOD(Table2[[#This Row],[Break 1]]+TIME(12,0,0),1)</f>
        <v>0.72916666666666674</v>
      </c>
      <c r="K10" s="36">
        <f>MOD(Table2[[#This Row],[Break 2]]+TIME(12,0,0),1)</f>
        <v>0.9375</v>
      </c>
      <c r="L10" s="36">
        <f>MOD(Table2[[#This Row],[Lunch]]+TIME(12,0,0),1)</f>
        <v>0.79166666666666674</v>
      </c>
      <c r="M10" s="36">
        <f>MOD(Table2[[#This Row],[Break 3]]+TIME(12,0,0),1)</f>
        <v>3.125E-2</v>
      </c>
      <c r="N10" s="35" t="str">
        <f>Table2[[#This Row],[Supervisor]]</f>
        <v>Michael Dominguez</v>
      </c>
      <c r="O10" s="35" t="s">
        <v>57</v>
      </c>
      <c r="P10" s="35">
        <f t="shared" si="1"/>
        <v>0</v>
      </c>
    </row>
    <row r="11" spans="1:16" x14ac:dyDescent="0.25">
      <c r="A11" s="35" t="str">
        <f>Table2[[#This Row],[Name]]</f>
        <v>Jose Saldy Rubio</v>
      </c>
      <c r="B11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05:00 - 16:00</v>
      </c>
      <c r="C11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11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1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1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05:00 - 16:00</v>
      </c>
      <c r="G11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05:00 - 16:00</v>
      </c>
      <c r="H11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05:00 - 16:00</v>
      </c>
      <c r="I11" s="35" t="str">
        <f t="shared" si="2"/>
        <v>Tue - Wed - Thu</v>
      </c>
      <c r="J11" s="36">
        <f>MOD(Table2[[#This Row],[Break 1]]+TIME(12,0,0),1)</f>
        <v>0.32291666666666652</v>
      </c>
      <c r="K11" s="36">
        <f>MOD(Table2[[#This Row],[Break 2]]+TIME(12,0,0),1)</f>
        <v>0.41666666666666652</v>
      </c>
      <c r="L11" s="36">
        <f>MOD(Table2[[#This Row],[Lunch]]+TIME(12,0,0),1)</f>
        <v>0.5</v>
      </c>
      <c r="M11" s="36">
        <f>MOD(Table2[[#This Row],[Break 3]]+TIME(12,0,0),1)</f>
        <v>0.60416666666666674</v>
      </c>
      <c r="N11" s="35" t="str">
        <f>Table2[[#This Row],[Supervisor]]</f>
        <v>Christopher Borromeo</v>
      </c>
      <c r="O11" s="35" t="s">
        <v>58</v>
      </c>
      <c r="P11" s="35">
        <f t="shared" si="1"/>
        <v>1</v>
      </c>
    </row>
    <row r="12" spans="1:16" x14ac:dyDescent="0.25">
      <c r="A12" s="35" t="str">
        <f>Table2[[#This Row],[Name]]</f>
        <v>Jubell Matanguihan</v>
      </c>
      <c r="B12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12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14:00 - 01:00</v>
      </c>
      <c r="D12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14:00 - 01:00</v>
      </c>
      <c r="E12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14:00 - 01:00</v>
      </c>
      <c r="F12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14:00 - 01:00</v>
      </c>
      <c r="G12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2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2" s="35" t="str">
        <f t="shared" si="2"/>
        <v>Mon - Sat - Sun</v>
      </c>
      <c r="J12" s="36">
        <f>MOD(Table2[[#This Row],[Break 1]]+TIME(12,0,0),1)</f>
        <v>0.79166666666666674</v>
      </c>
      <c r="K12" s="36">
        <f>MOD(Table2[[#This Row],[Break 2]]+TIME(12,0,0),1)</f>
        <v>0.875</v>
      </c>
      <c r="L12" s="36">
        <f>MOD(Table2[[#This Row],[Lunch]]+TIME(12,0,0),1)</f>
        <v>0.66666666666666674</v>
      </c>
      <c r="M12" s="36">
        <f>MOD(Table2[[#This Row],[Break 3]]+TIME(12,0,0),1)</f>
        <v>0.97916666666666674</v>
      </c>
      <c r="N12" s="35" t="str">
        <f>Table2[[#This Row],[Supervisor]]</f>
        <v>Christopher Borromeo</v>
      </c>
      <c r="O12" s="35" t="s">
        <v>59</v>
      </c>
      <c r="P12" s="35">
        <f t="shared" si="1"/>
        <v>0</v>
      </c>
    </row>
    <row r="13" spans="1:16" x14ac:dyDescent="0.25">
      <c r="A13" s="35" t="str">
        <f>Table2[[#This Row],[Name]]</f>
        <v>Lyka Mae Basco</v>
      </c>
      <c r="B13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03:00 - 14:00</v>
      </c>
      <c r="C13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03:00 - 14:00</v>
      </c>
      <c r="D13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3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3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3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03:00 - 14:00</v>
      </c>
      <c r="H13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03:00 - 14:00</v>
      </c>
      <c r="I13" s="35" t="str">
        <f t="shared" si="2"/>
        <v>Wed - Thu - Fri</v>
      </c>
      <c r="J13" s="36">
        <f>MOD(Table2[[#This Row],[Break 1]]+TIME(12,0,0),1)</f>
        <v>0.23958333333333348</v>
      </c>
      <c r="K13" s="36">
        <f>MOD(Table2[[#This Row],[Break 2]]+TIME(12,0,0),1)</f>
        <v>0.30208333333333348</v>
      </c>
      <c r="L13" s="36">
        <f>MOD(Table2[[#This Row],[Lunch]]+TIME(12,0,0),1)</f>
        <v>0.46875</v>
      </c>
      <c r="M13" s="36">
        <f>MOD(Table2[[#This Row],[Break 3]]+TIME(12,0,0),1)</f>
        <v>0.36458333333333348</v>
      </c>
      <c r="N13" s="35" t="str">
        <f>Table2[[#This Row],[Supervisor]]</f>
        <v>Michael Dominguez</v>
      </c>
      <c r="O13" s="35" t="s">
        <v>55</v>
      </c>
      <c r="P13" s="35">
        <f t="shared" si="1"/>
        <v>1</v>
      </c>
    </row>
    <row r="14" spans="1:16" x14ac:dyDescent="0.25">
      <c r="A14" s="35" t="str">
        <f>Table2[[#This Row],[Name]]</f>
        <v>Nelson Tamayo</v>
      </c>
      <c r="B14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16:00 - 03:00</v>
      </c>
      <c r="C14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16:00 - 03:00</v>
      </c>
      <c r="D14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4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4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4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16:00 - 03:00</v>
      </c>
      <c r="H14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16:00 - 03:00</v>
      </c>
      <c r="I14" s="35" t="str">
        <f t="shared" si="2"/>
        <v>Wed - Thu - Fri</v>
      </c>
      <c r="J14" s="36">
        <f>MOD(Table2[[#This Row],[Break 1]]+TIME(12,0,0),1)</f>
        <v>0.76041666666666674</v>
      </c>
      <c r="K14" s="36">
        <f>MOD(Table2[[#This Row],[Break 2]]+TIME(12,0,0),1)</f>
        <v>0.96875</v>
      </c>
      <c r="L14" s="36">
        <f>MOD(Table2[[#This Row],[Lunch]]+TIME(12,0,0),1)</f>
        <v>0.83333333333333326</v>
      </c>
      <c r="M14" s="36">
        <f>MOD(Table2[[#This Row],[Break 3]]+TIME(12,0,0),1)</f>
        <v>6.25E-2</v>
      </c>
      <c r="N14" s="35" t="str">
        <f>Table2[[#This Row],[Supervisor]]</f>
        <v>Manilyn Abellar</v>
      </c>
      <c r="O14" s="35" t="s">
        <v>57</v>
      </c>
      <c r="P14" s="35">
        <f t="shared" si="1"/>
        <v>0</v>
      </c>
    </row>
    <row r="15" spans="1:16" x14ac:dyDescent="0.25">
      <c r="A15" s="35" t="str">
        <f>Table2[[#This Row],[Name]]</f>
        <v>Ressan Resus</v>
      </c>
      <c r="B15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12:00 - 23:00</v>
      </c>
      <c r="C15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15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5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5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12:00 - 23:00</v>
      </c>
      <c r="G15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12:00 - 23:00</v>
      </c>
      <c r="H15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12:00 - 23:00</v>
      </c>
      <c r="I15" s="35" t="str">
        <f t="shared" si="2"/>
        <v>Tue - Wed - Thu</v>
      </c>
      <c r="J15" s="36">
        <f>MOD(Table2[[#This Row],[Break 1]]+TIME(12,0,0),1)</f>
        <v>0.57291666666666663</v>
      </c>
      <c r="K15" s="36">
        <f>MOD(Table2[[#This Row],[Break 2]]+TIME(12,0,0),1)</f>
        <v>0.77083333333333326</v>
      </c>
      <c r="L15" s="36">
        <f>MOD(Table2[[#This Row],[Lunch]]+TIME(12,0,0),1)</f>
        <v>0.64583333333333337</v>
      </c>
      <c r="M15" s="36">
        <f>MOD(Table2[[#This Row],[Break 3]]+TIME(12,0,0),1)</f>
        <v>0.86458333333333326</v>
      </c>
      <c r="N15" s="35" t="str">
        <f>Table2[[#This Row],[Supervisor]]</f>
        <v>Christopher Borromeo</v>
      </c>
      <c r="O15" s="35" t="s">
        <v>34</v>
      </c>
      <c r="P15" s="35">
        <f t="shared" si="1"/>
        <v>0</v>
      </c>
    </row>
    <row r="16" spans="1:16" x14ac:dyDescent="0.25">
      <c r="A16" s="35" t="str">
        <f>Table2[[#This Row],[Name]]</f>
        <v>Roel Gutay</v>
      </c>
      <c r="B16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18:00 - 05:00</v>
      </c>
      <c r="C16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16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6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18:00 - 05:00</v>
      </c>
      <c r="F16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6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18:00 - 05:00</v>
      </c>
      <c r="H16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18:00 - 05:00</v>
      </c>
      <c r="I16" s="35" t="str">
        <f t="shared" si="2"/>
        <v>Tue - Wed - Fri</v>
      </c>
      <c r="J16" s="36">
        <f>MOD(Table2[[#This Row],[Break 1]]+TIME(12,0,0),1)</f>
        <v>0.94791666666666674</v>
      </c>
      <c r="K16" s="36">
        <f>MOD(Table2[[#This Row],[Break 2]]+TIME(12,0,0),1)</f>
        <v>1.0416666666666519E-2</v>
      </c>
      <c r="L16" s="36">
        <f>MOD(Table2[[#This Row],[Lunch]]+TIME(12,0,0),1)</f>
        <v>0.82291666666666674</v>
      </c>
      <c r="M16" s="36">
        <f>MOD(Table2[[#This Row],[Break 3]]+TIME(12,0,0),1)</f>
        <v>0.13541666666666652</v>
      </c>
      <c r="N16" s="35" t="str">
        <f>Table2[[#This Row],[Supervisor]]</f>
        <v>Anmheca Valencia</v>
      </c>
      <c r="O16" s="35" t="s">
        <v>60</v>
      </c>
      <c r="P16" s="35">
        <f t="shared" si="1"/>
        <v>0</v>
      </c>
    </row>
    <row r="17" spans="1:16" x14ac:dyDescent="0.25">
      <c r="A17" s="35" t="str">
        <f>Table2[[#This Row],[Name]]</f>
        <v>Ronald Balitos</v>
      </c>
      <c r="B17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17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01:00 - 12:00</v>
      </c>
      <c r="D17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01:00 - 12:00</v>
      </c>
      <c r="E17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01:00 - 12:00</v>
      </c>
      <c r="F17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01:00 - 12:00</v>
      </c>
      <c r="G17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7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7" s="35" t="str">
        <f t="shared" si="2"/>
        <v>Mon - Sat - Sun</v>
      </c>
      <c r="J17" s="36">
        <f>MOD(Table2[[#This Row],[Break 1]]+TIME(12,0,0),1)</f>
        <v>0.13541666666666652</v>
      </c>
      <c r="K17" s="36">
        <f>MOD(Table2[[#This Row],[Break 2]]+TIME(12,0,0),1)</f>
        <v>0.21875</v>
      </c>
      <c r="L17" s="36">
        <f>MOD(Table2[[#This Row],[Lunch]]+TIME(12,0,0),1)</f>
        <v>0.3125</v>
      </c>
      <c r="M17" s="36">
        <f>MOD(Table2[[#This Row],[Break 3]]+TIME(12,0,0),1)</f>
        <v>0.41666666666666652</v>
      </c>
      <c r="N17" s="35" t="str">
        <f>Table2[[#This Row],[Supervisor]]</f>
        <v>Remmo Panaligan</v>
      </c>
      <c r="O17" s="35" t="s">
        <v>20</v>
      </c>
      <c r="P17" s="35">
        <f t="shared" si="1"/>
        <v>1</v>
      </c>
    </row>
    <row r="18" spans="1:16" x14ac:dyDescent="0.25">
      <c r="A18" s="35" t="str">
        <f>Table2[[#This Row],[Name]]</f>
        <v>Rossner Adonis</v>
      </c>
      <c r="B18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23:00 - 10:00</v>
      </c>
      <c r="C18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23:00 - 10:00</v>
      </c>
      <c r="D18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8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23:00 - 10:00</v>
      </c>
      <c r="F18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23:00 - 10:00</v>
      </c>
      <c r="G18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8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8" s="35" t="str">
        <f t="shared" si="2"/>
        <v>Wed - Sat - Sun</v>
      </c>
      <c r="J18" s="36">
        <f>MOD(Table2[[#This Row],[Break 1]]+TIME(12,0,0),1)</f>
        <v>3.125E-2</v>
      </c>
      <c r="K18" s="36">
        <f>MOD(Table2[[#This Row],[Break 2]]+TIME(12,0,0),1)</f>
        <v>0.14583333333333348</v>
      </c>
      <c r="L18" s="36">
        <f>MOD(Table2[[#This Row],[Lunch]]+TIME(12,0,0),1)</f>
        <v>0.23958333333333348</v>
      </c>
      <c r="M18" s="36">
        <f>MOD(Table2[[#This Row],[Break 3]]+TIME(12,0,0),1)</f>
        <v>0.34375</v>
      </c>
      <c r="N18" s="35" t="str">
        <f>Table2[[#This Row],[Supervisor]]</f>
        <v>Anmheca Valencia</v>
      </c>
      <c r="O18" s="35" t="s">
        <v>61</v>
      </c>
      <c r="P18" s="35">
        <f t="shared" si="1"/>
        <v>0</v>
      </c>
    </row>
    <row r="19" spans="1:16" x14ac:dyDescent="0.25">
      <c r="A19" s="35" t="str">
        <f>Table2[[#This Row],[Name]]</f>
        <v>Rudylyn Gay May Tabor</v>
      </c>
      <c r="B19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19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21:00 - 08:00</v>
      </c>
      <c r="D19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21:00 - 08:00</v>
      </c>
      <c r="E19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19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9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9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9" s="35" t="str">
        <f t="shared" si="2"/>
        <v>Fri - Sat - Sun</v>
      </c>
      <c r="J19" s="36">
        <f>MOD(Table2[[#This Row],[Break 1]]+TIME(12,0,0),1)</f>
        <v>0.9375</v>
      </c>
      <c r="K19" s="36">
        <f>MOD(Table2[[#This Row],[Break 2]]+TIME(12,0,0),1)</f>
        <v>2.0833333333333481E-2</v>
      </c>
      <c r="L19" s="36">
        <f>MOD(Table2[[#This Row],[Lunch]]+TIME(12,0,0),1)</f>
        <v>0.16666666666666652</v>
      </c>
      <c r="M19" s="36">
        <f>MOD(Table2[[#This Row],[Break 3]]+TIME(12,0,0),1)</f>
        <v>0.125</v>
      </c>
      <c r="N19" s="35" t="str">
        <f>Table2[[#This Row],[Supervisor]]</f>
        <v>Anmheca Valencia</v>
      </c>
      <c r="O19" s="35" t="s">
        <v>62</v>
      </c>
      <c r="P19" s="35">
        <f t="shared" si="1"/>
        <v>0</v>
      </c>
    </row>
    <row r="20" spans="1:16" x14ac:dyDescent="0.25">
      <c r="A20" s="35" t="str">
        <f>Table2[[#This Row],[Name]]</f>
        <v>Kurt Abong</v>
      </c>
      <c r="B20" s="35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20" s="35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20" s="35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05:00 - 16:00</v>
      </c>
      <c r="E20" s="35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05:00 - 16:00</v>
      </c>
      <c r="F20" s="35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05:00 - 16:00</v>
      </c>
      <c r="G20" s="35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05:00 - 16:00</v>
      </c>
      <c r="H20" s="35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0" s="35" t="str">
        <f t="shared" ref="I20" si="3">_xlfn.TEXTJOIN(" - ",TRUE,
IF(B20="OFF","Mon",""),
IF(C20="OFF","Tue",""),
IF(D20="OFF","Wed",""),
IF(E20="OFF","Thu",""),
IF(F20="OFF","Fri",""),
IF(G20="OFF","Sat",""),
IF(H20="OFF","Sun",""))</f>
        <v>Mon - Tue - Sun</v>
      </c>
      <c r="J20" s="36">
        <f>MOD(Table2[[#This Row],[Break 1]]+TIME(12,0,0),1)</f>
        <v>0.3125</v>
      </c>
      <c r="K20" s="36">
        <f>MOD(Table2[[#This Row],[Break 2]]+TIME(12,0,0),1)</f>
        <v>0.90625</v>
      </c>
      <c r="L20" s="36">
        <f>MOD(Table2[[#This Row],[Lunch]]+TIME(12,0,0),1)</f>
        <v>0.54166666666666663</v>
      </c>
      <c r="M20" s="36">
        <f>MOD(Table2[[#This Row],[Break 3]]+TIME(12,0,0),1)</f>
        <v>0.63541666666666663</v>
      </c>
      <c r="N20" s="35" t="str">
        <f>Table2[[#This Row],[Supervisor]]</f>
        <v>Michael Dominguez</v>
      </c>
      <c r="O20" s="35" t="s">
        <v>70</v>
      </c>
      <c r="P20" s="35">
        <f t="shared" ref="P20" si="4">IF(TIMEVALUE(LEFT(O20,FIND("-",O20)-1))&gt;=12/24,0,1)</f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DEFE-03A1-4491-8D17-9F4F1F26B433}">
  <dimension ref="A1:P1"/>
  <sheetViews>
    <sheetView workbookViewId="0">
      <selection activeCell="D19" sqref="D19"/>
    </sheetView>
  </sheetViews>
  <sheetFormatPr defaultRowHeight="15" x14ac:dyDescent="0.25"/>
  <cols>
    <col min="1" max="1" width="24.5703125" bestFit="1" customWidth="1"/>
    <col min="2" max="3" width="11.42578125" customWidth="1"/>
    <col min="4" max="4" width="12.5703125" customWidth="1"/>
    <col min="5" max="8" width="11.42578125" customWidth="1"/>
    <col min="9" max="9" width="14" customWidth="1"/>
    <col min="10" max="11" width="9" customWidth="1"/>
    <col min="12" max="12" width="7.7109375" customWidth="1"/>
    <col min="13" max="13" width="9" customWidth="1"/>
    <col min="14" max="14" width="17.28515625" customWidth="1"/>
    <col min="15" max="15" width="12.7109375" bestFit="1" customWidth="1"/>
    <col min="16" max="16" width="8.85546875" customWidth="1"/>
  </cols>
  <sheetData>
    <row r="1" spans="1:16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63</v>
      </c>
      <c r="P1" s="18" t="s">
        <v>15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32C0-8F03-4FE5-8B6A-F08C4853862C}">
  <dimension ref="A1:P68"/>
  <sheetViews>
    <sheetView workbookViewId="0">
      <selection activeCell="G15" sqref="G15"/>
    </sheetView>
  </sheetViews>
  <sheetFormatPr defaultRowHeight="15" x14ac:dyDescent="0.25"/>
  <cols>
    <col min="1" max="1" width="24.5703125" bestFit="1" customWidth="1"/>
    <col min="2" max="2" width="12.85546875" customWidth="1"/>
    <col min="3" max="3" width="14.140625" customWidth="1"/>
    <col min="4" max="8" width="11.42578125" bestFit="1" customWidth="1"/>
    <col min="9" max="9" width="14" bestFit="1" customWidth="1"/>
    <col min="10" max="13" width="8.42578125" style="23" bestFit="1" customWidth="1"/>
    <col min="14" max="14" width="17.28515625" bestFit="1" customWidth="1"/>
    <col min="15" max="15" width="14.28515625" customWidth="1"/>
  </cols>
  <sheetData>
    <row r="1" spans="1:16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64</v>
      </c>
      <c r="P1" s="25" t="s">
        <v>15</v>
      </c>
    </row>
    <row r="2" spans="1:16" x14ac:dyDescent="0.25">
      <c r="J2" s="14"/>
      <c r="K2" s="14"/>
      <c r="L2" s="14"/>
      <c r="M2" s="14"/>
    </row>
    <row r="3" spans="1:16" x14ac:dyDescent="0.25">
      <c r="J3" s="14"/>
      <c r="K3" s="14"/>
      <c r="L3" s="14"/>
      <c r="M3" s="14"/>
    </row>
    <row r="4" spans="1:16" x14ac:dyDescent="0.25">
      <c r="J4" s="14"/>
      <c r="K4" s="14"/>
      <c r="L4" s="14"/>
      <c r="M4" s="14"/>
    </row>
    <row r="5" spans="1:16" x14ac:dyDescent="0.25">
      <c r="J5" s="14"/>
      <c r="K5" s="14"/>
      <c r="L5" s="14"/>
      <c r="M5" s="14"/>
    </row>
    <row r="6" spans="1:16" x14ac:dyDescent="0.25">
      <c r="J6" s="14"/>
      <c r="K6" s="14"/>
      <c r="L6" s="14"/>
      <c r="M6" s="14"/>
    </row>
    <row r="7" spans="1:16" x14ac:dyDescent="0.25">
      <c r="J7" s="14"/>
      <c r="K7" s="14"/>
      <c r="L7" s="14"/>
      <c r="M7" s="14"/>
    </row>
    <row r="8" spans="1:16" x14ac:dyDescent="0.25">
      <c r="J8" s="14"/>
      <c r="K8" s="14"/>
      <c r="L8" s="14"/>
      <c r="M8" s="14"/>
    </row>
    <row r="9" spans="1:16" x14ac:dyDescent="0.25">
      <c r="J9" s="14"/>
      <c r="K9" s="14"/>
      <c r="L9" s="14"/>
      <c r="M9" s="14"/>
    </row>
    <row r="10" spans="1:16" x14ac:dyDescent="0.25">
      <c r="J10" s="14"/>
      <c r="K10" s="14"/>
      <c r="L10" s="14"/>
      <c r="M10" s="14"/>
    </row>
    <row r="11" spans="1:16" x14ac:dyDescent="0.25">
      <c r="J11" s="14"/>
      <c r="K11" s="14"/>
      <c r="L11" s="14"/>
      <c r="M11" s="14"/>
    </row>
    <row r="12" spans="1:16" x14ac:dyDescent="0.25">
      <c r="J12" s="14"/>
      <c r="K12" s="14"/>
      <c r="L12" s="14"/>
      <c r="M12" s="14"/>
    </row>
    <row r="13" spans="1:16" x14ac:dyDescent="0.25">
      <c r="J13" s="14"/>
      <c r="K13" s="14"/>
      <c r="L13" s="14"/>
      <c r="M13" s="14"/>
    </row>
    <row r="14" spans="1:16" x14ac:dyDescent="0.25">
      <c r="J14" s="14"/>
      <c r="K14" s="14"/>
      <c r="L14" s="14"/>
      <c r="M14" s="14"/>
    </row>
    <row r="15" spans="1:16" x14ac:dyDescent="0.25">
      <c r="J15" s="14"/>
      <c r="K15" s="14"/>
      <c r="L15" s="14"/>
      <c r="M15" s="14"/>
    </row>
    <row r="16" spans="1:16" x14ac:dyDescent="0.25">
      <c r="J16" s="14"/>
      <c r="K16" s="14"/>
      <c r="L16" s="14"/>
      <c r="M16" s="14"/>
    </row>
    <row r="17" spans="10:13" x14ac:dyDescent="0.25">
      <c r="J17" s="14"/>
      <c r="K17" s="14"/>
      <c r="L17" s="14"/>
      <c r="M17" s="14"/>
    </row>
    <row r="18" spans="10:13" x14ac:dyDescent="0.25">
      <c r="J18" s="14"/>
      <c r="K18" s="14"/>
      <c r="L18" s="14"/>
      <c r="M18" s="14"/>
    </row>
    <row r="19" spans="10:13" x14ac:dyDescent="0.25">
      <c r="J19" s="14"/>
      <c r="K19" s="14"/>
      <c r="L19" s="14"/>
      <c r="M19" s="14"/>
    </row>
    <row r="20" spans="10:13" x14ac:dyDescent="0.25">
      <c r="J20" s="14"/>
      <c r="K20" s="14"/>
      <c r="L20" s="14"/>
      <c r="M20" s="14"/>
    </row>
    <row r="21" spans="10:13" x14ac:dyDescent="0.25">
      <c r="J21" s="14"/>
      <c r="K21" s="14"/>
      <c r="L21" s="14"/>
      <c r="M21" s="14"/>
    </row>
    <row r="22" spans="10:13" x14ac:dyDescent="0.25">
      <c r="J22" s="14"/>
      <c r="K22" s="14"/>
      <c r="L22" s="14"/>
      <c r="M22" s="14"/>
    </row>
    <row r="23" spans="10:13" x14ac:dyDescent="0.25">
      <c r="J23" s="14"/>
      <c r="K23" s="14"/>
      <c r="L23" s="14"/>
      <c r="M23" s="14"/>
    </row>
    <row r="24" spans="10:13" x14ac:dyDescent="0.25">
      <c r="J24" s="14"/>
      <c r="K24" s="14"/>
      <c r="L24" s="14"/>
      <c r="M24" s="14"/>
    </row>
    <row r="25" spans="10:13" x14ac:dyDescent="0.25">
      <c r="J25" s="14"/>
      <c r="K25" s="14"/>
      <c r="L25" s="14"/>
      <c r="M25" s="14"/>
    </row>
    <row r="26" spans="10:13" x14ac:dyDescent="0.25">
      <c r="J26" s="14"/>
      <c r="K26" s="14"/>
      <c r="L26" s="14"/>
      <c r="M26" s="14"/>
    </row>
    <row r="27" spans="10:13" x14ac:dyDescent="0.25">
      <c r="J27" s="14"/>
      <c r="K27" s="14"/>
      <c r="L27" s="14"/>
      <c r="M27" s="14"/>
    </row>
    <row r="28" spans="10:13" x14ac:dyDescent="0.25">
      <c r="J28" s="14"/>
      <c r="K28" s="14"/>
      <c r="L28" s="14"/>
      <c r="M28" s="14"/>
    </row>
    <row r="29" spans="10:13" x14ac:dyDescent="0.25">
      <c r="J29" s="14"/>
      <c r="K29" s="14"/>
      <c r="L29" s="14"/>
      <c r="M29" s="14"/>
    </row>
    <row r="30" spans="10:13" x14ac:dyDescent="0.25">
      <c r="J30" s="14"/>
      <c r="K30" s="14"/>
      <c r="L30" s="14"/>
      <c r="M30" s="14"/>
    </row>
    <row r="31" spans="10:13" x14ac:dyDescent="0.25">
      <c r="J31" s="14"/>
      <c r="K31" s="14"/>
      <c r="L31" s="14"/>
      <c r="M31" s="14"/>
    </row>
    <row r="32" spans="10:13" x14ac:dyDescent="0.25">
      <c r="J32" s="14"/>
      <c r="K32" s="14"/>
      <c r="L32" s="14"/>
      <c r="M32" s="14"/>
    </row>
    <row r="33" spans="10:13" x14ac:dyDescent="0.25">
      <c r="J33" s="14"/>
      <c r="K33" s="14"/>
      <c r="L33" s="14"/>
      <c r="M33" s="14"/>
    </row>
    <row r="34" spans="10:13" x14ac:dyDescent="0.25">
      <c r="J34" s="14"/>
      <c r="K34" s="14"/>
      <c r="L34" s="14"/>
      <c r="M34" s="14"/>
    </row>
    <row r="35" spans="10:13" x14ac:dyDescent="0.25">
      <c r="J35" s="14"/>
      <c r="K35" s="14"/>
      <c r="L35" s="14"/>
      <c r="M35" s="14"/>
    </row>
    <row r="36" spans="10:13" x14ac:dyDescent="0.25">
      <c r="J36" s="14"/>
      <c r="K36" s="14"/>
      <c r="L36" s="14"/>
      <c r="M36" s="14"/>
    </row>
    <row r="37" spans="10:13" x14ac:dyDescent="0.25">
      <c r="J37" s="14"/>
      <c r="K37" s="14"/>
      <c r="L37" s="14"/>
      <c r="M37" s="14"/>
    </row>
    <row r="38" spans="10:13" x14ac:dyDescent="0.25">
      <c r="J38" s="14"/>
      <c r="K38" s="14"/>
      <c r="L38" s="14"/>
      <c r="M38" s="14"/>
    </row>
    <row r="39" spans="10:13" x14ac:dyDescent="0.25">
      <c r="J39" s="14"/>
      <c r="K39" s="14"/>
      <c r="L39" s="14"/>
      <c r="M39" s="14"/>
    </row>
    <row r="40" spans="10:13" x14ac:dyDescent="0.25">
      <c r="J40" s="14"/>
      <c r="K40" s="14"/>
      <c r="L40" s="14"/>
      <c r="M40" s="14"/>
    </row>
    <row r="41" spans="10:13" x14ac:dyDescent="0.25">
      <c r="J41" s="14"/>
      <c r="K41" s="14"/>
      <c r="L41" s="14"/>
      <c r="M41" s="14"/>
    </row>
    <row r="42" spans="10:13" x14ac:dyDescent="0.25">
      <c r="J42" s="14"/>
      <c r="K42" s="14"/>
      <c r="L42" s="14"/>
      <c r="M42" s="14"/>
    </row>
    <row r="43" spans="10:13" x14ac:dyDescent="0.25">
      <c r="J43" s="14"/>
      <c r="K43" s="14"/>
      <c r="L43" s="14"/>
      <c r="M43" s="14"/>
    </row>
    <row r="44" spans="10:13" x14ac:dyDescent="0.25">
      <c r="J44" s="14"/>
      <c r="K44" s="14"/>
      <c r="L44" s="14"/>
      <c r="M44" s="14"/>
    </row>
    <row r="45" spans="10:13" x14ac:dyDescent="0.25">
      <c r="J45" s="14"/>
      <c r="K45" s="14"/>
      <c r="L45" s="14"/>
      <c r="M45" s="14"/>
    </row>
    <row r="46" spans="10:13" x14ac:dyDescent="0.25">
      <c r="J46" s="14"/>
      <c r="K46" s="14"/>
      <c r="L46" s="14"/>
      <c r="M46" s="14"/>
    </row>
    <row r="47" spans="10:13" x14ac:dyDescent="0.25">
      <c r="J47" s="14"/>
      <c r="K47" s="14"/>
      <c r="L47" s="14"/>
      <c r="M47" s="14"/>
    </row>
    <row r="48" spans="10:13" x14ac:dyDescent="0.25">
      <c r="J48" s="14"/>
      <c r="K48" s="14"/>
      <c r="L48" s="14"/>
      <c r="M48" s="14"/>
    </row>
    <row r="49" spans="10:13" x14ac:dyDescent="0.25">
      <c r="J49" s="14"/>
      <c r="K49" s="14"/>
      <c r="L49" s="14"/>
      <c r="M49" s="14"/>
    </row>
    <row r="50" spans="10:13" x14ac:dyDescent="0.25">
      <c r="J50" s="14"/>
      <c r="K50" s="14"/>
      <c r="L50" s="14"/>
      <c r="M50" s="14"/>
    </row>
    <row r="51" spans="10:13" x14ac:dyDescent="0.25">
      <c r="J51" s="14"/>
      <c r="K51" s="14"/>
      <c r="L51" s="14"/>
      <c r="M51" s="14"/>
    </row>
    <row r="52" spans="10:13" x14ac:dyDescent="0.25">
      <c r="J52" s="14"/>
      <c r="K52" s="14"/>
      <c r="L52" s="14"/>
      <c r="M52" s="14"/>
    </row>
    <row r="53" spans="10:13" x14ac:dyDescent="0.25">
      <c r="J53" s="14"/>
      <c r="K53" s="14"/>
      <c r="L53" s="14"/>
      <c r="M53" s="14"/>
    </row>
    <row r="54" spans="10:13" x14ac:dyDescent="0.25">
      <c r="J54" s="14"/>
      <c r="K54" s="14"/>
      <c r="L54" s="14"/>
      <c r="M54" s="14"/>
    </row>
    <row r="55" spans="10:13" x14ac:dyDescent="0.25">
      <c r="J55" s="14"/>
      <c r="K55" s="14"/>
      <c r="L55" s="14"/>
      <c r="M55" s="14"/>
    </row>
    <row r="56" spans="10:13" x14ac:dyDescent="0.25">
      <c r="J56" s="14"/>
      <c r="K56" s="14"/>
      <c r="L56" s="14"/>
      <c r="M56" s="14"/>
    </row>
    <row r="57" spans="10:13" x14ac:dyDescent="0.25">
      <c r="J57" s="14"/>
      <c r="K57" s="14"/>
      <c r="L57" s="14"/>
      <c r="M57" s="14"/>
    </row>
    <row r="58" spans="10:13" x14ac:dyDescent="0.25">
      <c r="J58" s="14"/>
      <c r="K58" s="14"/>
      <c r="L58" s="14"/>
      <c r="M58" s="14"/>
    </row>
    <row r="59" spans="10:13" x14ac:dyDescent="0.25">
      <c r="J59" s="14"/>
      <c r="K59" s="14"/>
      <c r="L59" s="14"/>
      <c r="M59" s="14"/>
    </row>
    <row r="60" spans="10:13" x14ac:dyDescent="0.25">
      <c r="J60" s="14"/>
      <c r="K60" s="14"/>
      <c r="L60" s="14"/>
      <c r="M60" s="14"/>
    </row>
    <row r="61" spans="10:13" x14ac:dyDescent="0.25">
      <c r="J61" s="14"/>
      <c r="K61" s="14"/>
      <c r="L61" s="14"/>
      <c r="M61" s="14"/>
    </row>
    <row r="62" spans="10:13" x14ac:dyDescent="0.25">
      <c r="J62" s="14"/>
      <c r="K62" s="14"/>
      <c r="L62" s="14"/>
      <c r="M62" s="14"/>
    </row>
    <row r="63" spans="10:13" x14ac:dyDescent="0.25">
      <c r="J63" s="14"/>
      <c r="K63" s="14"/>
      <c r="L63" s="14"/>
      <c r="M63" s="14"/>
    </row>
    <row r="64" spans="10:13" x14ac:dyDescent="0.25">
      <c r="J64" s="14"/>
      <c r="K64" s="14"/>
      <c r="L64" s="14"/>
      <c r="M64" s="14"/>
    </row>
    <row r="65" spans="10:13" x14ac:dyDescent="0.25">
      <c r="J65" s="14"/>
      <c r="K65" s="14"/>
      <c r="L65" s="14"/>
      <c r="M65" s="14"/>
    </row>
    <row r="66" spans="10:13" x14ac:dyDescent="0.25">
      <c r="J66" s="14"/>
      <c r="K66" s="14"/>
      <c r="L66" s="14"/>
      <c r="M66" s="14"/>
    </row>
    <row r="67" spans="10:13" x14ac:dyDescent="0.25">
      <c r="J67" s="14"/>
      <c r="K67" s="14"/>
      <c r="L67" s="14"/>
      <c r="M67" s="14"/>
    </row>
    <row r="68" spans="10:13" x14ac:dyDescent="0.25">
      <c r="J68" s="14"/>
      <c r="K68" s="14"/>
      <c r="L68" s="14"/>
      <c r="M68" s="14"/>
    </row>
  </sheetData>
  <autoFilter ref="A1:P68" xr:uid="{402932C0-8F03-4FE5-8B6A-F08C4853862C}"/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105F-36DE-413B-8CE0-3469CE31C697}">
  <dimension ref="A1:D70"/>
  <sheetViews>
    <sheetView topLeftCell="A51" workbookViewId="0">
      <selection activeCell="A2" sqref="A2:D71"/>
    </sheetView>
  </sheetViews>
  <sheetFormatPr defaultRowHeight="15" x14ac:dyDescent="0.25"/>
  <cols>
    <col min="1" max="1" width="26.7109375" customWidth="1"/>
    <col min="2" max="2" width="19.140625" style="12" customWidth="1"/>
    <col min="3" max="3" width="22.5703125" customWidth="1"/>
    <col min="4" max="4" width="16.7109375" bestFit="1" customWidth="1"/>
  </cols>
  <sheetData>
    <row r="1" spans="1:4" ht="17.25" thickBot="1" x14ac:dyDescent="0.3">
      <c r="A1" s="8" t="s">
        <v>0</v>
      </c>
      <c r="B1" s="11" t="s">
        <v>65</v>
      </c>
      <c r="C1" s="8" t="s">
        <v>66</v>
      </c>
      <c r="D1" s="8" t="s">
        <v>13</v>
      </c>
    </row>
    <row r="2" spans="1:4" x14ac:dyDescent="0.25">
      <c r="A2" s="7"/>
    </row>
    <row r="13" spans="1:4" x14ac:dyDescent="0.25">
      <c r="A13" s="6"/>
    </row>
    <row r="25" spans="1:1" x14ac:dyDescent="0.25">
      <c r="A25" s="15"/>
    </row>
    <row r="26" spans="1:1" x14ac:dyDescent="0.25">
      <c r="A26" s="15"/>
    </row>
    <row r="28" spans="1:1" x14ac:dyDescent="0.25">
      <c r="A28" s="27"/>
    </row>
    <row r="34" spans="1:1" x14ac:dyDescent="0.25">
      <c r="A34" s="27"/>
    </row>
    <row r="37" spans="1:1" x14ac:dyDescent="0.25">
      <c r="A37" s="27"/>
    </row>
    <row r="43" spans="1:1" x14ac:dyDescent="0.25">
      <c r="A43" s="27"/>
    </row>
    <row r="69" spans="1:1" x14ac:dyDescent="0.25">
      <c r="A69" s="16"/>
    </row>
    <row r="70" spans="1:1" x14ac:dyDescent="0.25">
      <c r="A70" s="35"/>
    </row>
  </sheetData>
  <autoFilter ref="A1:D66" xr:uid="{7AC4105F-36DE-413B-8CE0-3469CE31C697}">
    <sortState xmlns:xlrd2="http://schemas.microsoft.com/office/spreadsheetml/2017/richdata2" ref="A2:D70">
      <sortCondition ref="B1:B66"/>
    </sortState>
  </autoFilter>
  <conditionalFormatting sqref="A2">
    <cfRule type="cellIs" dxfId="12" priority="2" operator="equal">
      <formula>"OFF"</formula>
    </cfRule>
  </conditionalFormatting>
  <conditionalFormatting sqref="A13">
    <cfRule type="cellIs" dxfId="11" priority="1" operator="equal">
      <formula>"OFF"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1F19-C6FE-4035-B842-090875DBA03B}">
  <dimension ref="A1:D18"/>
  <sheetViews>
    <sheetView workbookViewId="0">
      <selection activeCell="A2" sqref="A2:C16"/>
    </sheetView>
  </sheetViews>
  <sheetFormatPr defaultRowHeight="15" x14ac:dyDescent="0.25"/>
  <cols>
    <col min="1" max="1" width="28.7109375" style="10" bestFit="1" customWidth="1"/>
    <col min="2" max="2" width="15.28515625" style="12" customWidth="1"/>
    <col min="3" max="3" width="25.85546875" style="10" customWidth="1"/>
    <col min="4" max="4" width="16.7109375" bestFit="1" customWidth="1"/>
  </cols>
  <sheetData>
    <row r="1" spans="1:4" ht="16.5" x14ac:dyDescent="0.25">
      <c r="A1" s="28" t="s">
        <v>0</v>
      </c>
      <c r="B1" s="11" t="s">
        <v>65</v>
      </c>
      <c r="C1" s="9" t="s">
        <v>66</v>
      </c>
      <c r="D1" s="9" t="s">
        <v>13</v>
      </c>
    </row>
    <row r="2" spans="1:4" x14ac:dyDescent="0.25">
      <c r="A2" s="29"/>
      <c r="D2" t="e">
        <f>VLOOKUP(A2,EST!A:N,14,FALSE)</f>
        <v>#N/A</v>
      </c>
    </row>
    <row r="3" spans="1:4" x14ac:dyDescent="0.25">
      <c r="D3" t="e">
        <f>VLOOKUP(A3,EST!A:N,14,FALSE)</f>
        <v>#N/A</v>
      </c>
    </row>
    <row r="4" spans="1:4" x14ac:dyDescent="0.25">
      <c r="A4" s="16"/>
      <c r="D4" t="e">
        <f>VLOOKUP(A4,EST!A:N,14,FALSE)</f>
        <v>#N/A</v>
      </c>
    </row>
    <row r="5" spans="1:4" x14ac:dyDescent="0.25">
      <c r="D5" t="e">
        <f>VLOOKUP(A5,EST!A:N,14,FALSE)</f>
        <v>#N/A</v>
      </c>
    </row>
    <row r="6" spans="1:4" x14ac:dyDescent="0.25">
      <c r="A6" s="16"/>
      <c r="D6" t="e">
        <f>VLOOKUP(A6,EST!A:N,14,FALSE)</f>
        <v>#N/A</v>
      </c>
    </row>
    <row r="7" spans="1:4" x14ac:dyDescent="0.25">
      <c r="A7" s="16"/>
      <c r="D7" t="e">
        <f>VLOOKUP(A7,EST!A:N,14,FALSE)</f>
        <v>#N/A</v>
      </c>
    </row>
    <row r="8" spans="1:4" x14ac:dyDescent="0.25">
      <c r="D8" t="str">
        <f>_xlfn.IFNA(VLOOKUP(A8,EST!A:N,14,FALSE),"")</f>
        <v/>
      </c>
    </row>
    <row r="9" spans="1:4" x14ac:dyDescent="0.25">
      <c r="D9" t="str">
        <f>_xlfn.IFNA(VLOOKUP(A9,EST!A:N,14,FALSE),"")</f>
        <v/>
      </c>
    </row>
    <row r="10" spans="1:4" x14ac:dyDescent="0.25">
      <c r="D10" t="str">
        <f>_xlfn.IFNA(VLOOKUP(A10,EST!A:N,14,FALSE),"")</f>
        <v/>
      </c>
    </row>
    <row r="11" spans="1:4" x14ac:dyDescent="0.25">
      <c r="A11" s="16"/>
      <c r="D11" t="str">
        <f>_xlfn.IFNA(VLOOKUP(A11,EST!A:N,14,FALSE),"")</f>
        <v/>
      </c>
    </row>
    <row r="12" spans="1:4" x14ac:dyDescent="0.25">
      <c r="A12" s="16"/>
      <c r="D12" t="str">
        <f>_xlfn.IFNA(VLOOKUP(A12,EST!A:N,14,FALSE),"")</f>
        <v/>
      </c>
    </row>
    <row r="13" spans="1:4" x14ac:dyDescent="0.25">
      <c r="D13" t="str">
        <f>_xlfn.IFNA(VLOOKUP(A13,EST!A:N,14,FALSE),"")</f>
        <v/>
      </c>
    </row>
    <row r="14" spans="1:4" x14ac:dyDescent="0.25">
      <c r="A14" s="16"/>
      <c r="D14" t="str">
        <f>_xlfn.IFNA(VLOOKUP(A14,EST!A:N,14,FALSE),"")</f>
        <v/>
      </c>
    </row>
    <row r="15" spans="1:4" x14ac:dyDescent="0.25">
      <c r="D15" t="str">
        <f>_xlfn.IFNA(VLOOKUP(A15,EST!A:N,14,FALSE),"")</f>
        <v/>
      </c>
    </row>
    <row r="16" spans="1:4" x14ac:dyDescent="0.25">
      <c r="A16" s="16"/>
      <c r="D16" t="str">
        <f>_xlfn.IFNA(VLOOKUP(A16,EST!A:N,14,FALSE),"")</f>
        <v/>
      </c>
    </row>
    <row r="17" spans="4:4" x14ac:dyDescent="0.25">
      <c r="D17" t="str">
        <f>_xlfn.IFNA(VLOOKUP(A17,EST!A:N,14,FALSE),"")</f>
        <v/>
      </c>
    </row>
    <row r="18" spans="4:4" x14ac:dyDescent="0.25">
      <c r="D18" t="str">
        <f>_xlfn.IFNA(VLOOKUP(A18,EST!A:N,14,FALSE),"")</f>
        <v/>
      </c>
    </row>
  </sheetData>
  <conditionalFormatting sqref="A2">
    <cfRule type="cellIs" dxfId="10" priority="8" operator="equal">
      <formula>"OFF"</formula>
    </cfRule>
  </conditionalFormatting>
  <conditionalFormatting sqref="A4">
    <cfRule type="cellIs" dxfId="9" priority="7" operator="equal">
      <formula>"OFF"</formula>
    </cfRule>
  </conditionalFormatting>
  <conditionalFormatting sqref="A6:A7">
    <cfRule type="cellIs" dxfId="8" priority="5" operator="equal">
      <formula>"OFF"</formula>
    </cfRule>
  </conditionalFormatting>
  <conditionalFormatting sqref="A11:A12">
    <cfRule type="cellIs" dxfId="7" priority="3" operator="equal">
      <formula>"OFF"</formula>
    </cfRule>
  </conditionalFormatting>
  <conditionalFormatting sqref="A14">
    <cfRule type="cellIs" dxfId="6" priority="2" operator="equal">
      <formula>"OFF"</formula>
    </cfRule>
  </conditionalFormatting>
  <conditionalFormatting sqref="A16">
    <cfRule type="cellIs" dxfId="5" priority="1" operator="equal">
      <formula>"OFF"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77A1-36D9-450A-8727-90DBF544EDF2}">
  <dimension ref="A1"/>
  <sheetViews>
    <sheetView workbookViewId="0">
      <selection activeCell="D23" sqref="D23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8226-A396-4006-89B3-F11456CFF637}">
  <dimension ref="A1:N2"/>
  <sheetViews>
    <sheetView workbookViewId="0"/>
  </sheetViews>
  <sheetFormatPr defaultRowHeight="15" x14ac:dyDescent="0.25"/>
  <cols>
    <col min="1" max="1" width="17.140625" bestFit="1" customWidth="1"/>
    <col min="2" max="2" width="7.85546875" bestFit="1" customWidth="1"/>
    <col min="3" max="3" width="8.140625" bestFit="1" customWidth="1"/>
    <col min="4" max="4" width="11.140625" bestFit="1" customWidth="1"/>
    <col min="5" max="8" width="12.42578125" bestFit="1" customWidth="1"/>
    <col min="9" max="9" width="14.85546875" bestFit="1" customWidth="1"/>
    <col min="10" max="11" width="7.5703125" bestFit="1" customWidth="1"/>
    <col min="12" max="12" width="6.42578125" bestFit="1" customWidth="1"/>
    <col min="13" max="13" width="7.5703125" bestFit="1" customWidth="1"/>
    <col min="14" max="14" width="17.85546875" bestFit="1" customWidth="1"/>
  </cols>
  <sheetData>
    <row r="1" spans="1:14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</row>
    <row r="2" spans="1:14" x14ac:dyDescent="0.25">
      <c r="A2" s="38" t="s">
        <v>67</v>
      </c>
      <c r="B2" s="20" t="s">
        <v>18</v>
      </c>
      <c r="C2" s="20" t="s">
        <v>18</v>
      </c>
      <c r="D2" s="20" t="s">
        <v>18</v>
      </c>
      <c r="E2" s="39" t="s">
        <v>27</v>
      </c>
      <c r="F2" s="39" t="s">
        <v>27</v>
      </c>
      <c r="G2" s="39" t="s">
        <v>27</v>
      </c>
      <c r="H2" s="39" t="s">
        <v>27</v>
      </c>
      <c r="I2" s="20" t="s">
        <v>68</v>
      </c>
      <c r="J2" s="21">
        <v>0.625</v>
      </c>
      <c r="K2" s="21">
        <v>0.71875</v>
      </c>
      <c r="L2" s="21">
        <v>0.8125</v>
      </c>
      <c r="M2" s="21">
        <v>0.9375</v>
      </c>
      <c r="N2" s="22" t="s">
        <v>35</v>
      </c>
    </row>
  </sheetData>
  <conditionalFormatting sqref="A2:I2">
    <cfRule type="cellIs" dxfId="4" priority="1" operator="equal">
      <formula>"OFF"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</vt:lpstr>
      <vt:lpstr>PH</vt:lpstr>
      <vt:lpstr>EST_OLD</vt:lpstr>
      <vt:lpstr>PH_OLD</vt:lpstr>
      <vt:lpstr>PTO</vt:lpstr>
      <vt:lpstr>Called OFF</vt:lpstr>
      <vt:lpstr>NOTES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Abellar, Manilyn -ND</dc:creator>
  <cp:keywords/>
  <dc:description/>
  <cp:lastModifiedBy>Abellar, Manilyn -ND</cp:lastModifiedBy>
  <cp:revision/>
  <dcterms:created xsi:type="dcterms:W3CDTF">2026-10-19T19:40:00Z</dcterms:created>
  <dcterms:modified xsi:type="dcterms:W3CDTF">2026-10-29T22:49:54Z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a4eab-ab8d-4c7a-9c6e-0841db0ee2c9_Removed">
    <vt:lpwstr>False</vt:lpwstr>
  </property>
  <property fmtid="{D5CDD505-2E9C-101B-9397-08002B2CF9AE}" pid="3" name="MSIP_Label_fe5a4eab-ab8d-4c7a-9c6e-0841db0ee2c9_ActionId">
    <vt:lpwstr>459357a8-430d-4926-8769-089988e1fd3d</vt:lpwstr>
  </property>
  <property fmtid="{D5CDD505-2E9C-101B-9397-08002B2CF9AE}" pid="4" name="MSIP_Label_fe5a4eab-ab8d-4c7a-9c6e-0841db0ee2c9_Name">
    <vt:lpwstr>Public</vt:lpwstr>
  </property>
  <property fmtid="{D5CDD505-2E9C-101B-9397-08002B2CF9AE}" pid="5" name="MSIP_Label_fe5a4eab-ab8d-4c7a-9c6e-0841db0ee2c9_SetDate">
    <vt:lpwstr>2026-10-24T22:58:35Z</vt:lpwstr>
  </property>
  <property fmtid="{D5CDD505-2E9C-101B-9397-08002B2CF9AE}" pid="6" name="MSIP_Label_fe5a4eab-ab8d-4c7a-9c6e-0841db0ee2c9_SiteId">
    <vt:lpwstr>56b731a8-a2ac-4c32-bf6b-616810e913c6</vt:lpwstr>
  </property>
  <property fmtid="{D5CDD505-2E9C-101B-9397-08002B2CF9AE}" pid="7" name="MSIP_Label_fe5a4eab-ab8d-4c7a-9c6e-0841db0ee2c9_Enabled">
    <vt:lpwstr>True</vt:lpwstr>
  </property>
  <property fmtid="{D5CDD505-2E9C-101B-9397-08002B2CF9AE}" pid="8" name="MSIP_Label_fe5a4eab-ab8d-4c7a-9c6e-0841db0ee2c9_Extended_MSFT_Method">
    <vt:lpwstr>Privileged</vt:lpwstr>
  </property>
  <property fmtid="{D5CDD505-2E9C-101B-9397-08002B2CF9AE}" pid="9" name="Sensitivity">
    <vt:lpwstr>Public</vt:lpwstr>
  </property>
</Properties>
</file>