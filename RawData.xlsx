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27B7913F-B87A-4781-B31B-CB8F138E4BC3}" xr6:coauthVersionLast="47" xr6:coauthVersionMax="47" xr10:uidLastSave="{00000000-0000-0000-0000-000000000000}"/>
  <bookViews>
    <workbookView xWindow="14664" yWindow="-16308" windowWidth="29016" windowHeight="15696" firstSheet="4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  <sheet name="Sheet1" sheetId="9" state="hidden" r:id="rId8"/>
  </sheets>
  <definedNames>
    <definedName name="_xlnm._FilterDatabase" localSheetId="0" hidden="1">EST!$A$1:$O$64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3" i="4" l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" i="4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M2" i="4"/>
  <c r="L2" i="4"/>
  <c r="K2" i="4"/>
  <c r="J2" i="4"/>
  <c r="I20" i="1"/>
  <c r="P2" i="1"/>
  <c r="P15" i="1"/>
  <c r="I2" i="1"/>
  <c r="I15" i="1"/>
  <c r="I12" i="1"/>
  <c r="I14" i="1"/>
  <c r="I6" i="1"/>
  <c r="I10" i="1"/>
  <c r="I16" i="1"/>
  <c r="I4" i="1"/>
  <c r="I19" i="1"/>
  <c r="I18" i="1"/>
  <c r="I9" i="1"/>
  <c r="I17" i="1"/>
  <c r="I5" i="1"/>
  <c r="I3" i="1"/>
  <c r="I13" i="1"/>
  <c r="I7" i="1"/>
  <c r="I11" i="1"/>
  <c r="I8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" i="4"/>
  <c r="P11" i="1"/>
  <c r="P12" i="1"/>
  <c r="P14" i="1"/>
  <c r="P6" i="1"/>
  <c r="P10" i="1"/>
  <c r="P16" i="1"/>
  <c r="P4" i="1"/>
  <c r="P19" i="1"/>
  <c r="P18" i="1"/>
  <c r="P9" i="1"/>
  <c r="P17" i="1"/>
  <c r="P5" i="1"/>
  <c r="P3" i="1"/>
  <c r="P13" i="1"/>
  <c r="P7" i="1"/>
  <c r="P8" i="1"/>
  <c r="C2" i="7"/>
  <c r="D2" i="7"/>
  <c r="B2" i="7"/>
  <c r="P2" i="7" l="1"/>
  <c r="N2" i="7"/>
  <c r="M2" i="7"/>
  <c r="L2" i="7"/>
  <c r="K2" i="7"/>
  <c r="J2" i="7"/>
  <c r="H2" i="7" a="1"/>
  <c r="H2" i="7" s="1"/>
  <c r="H3" i="7" a="1"/>
  <c r="H3" i="7" s="1"/>
  <c r="H4" i="7" a="1"/>
  <c r="H4" i="7" s="1"/>
  <c r="H5" i="7" a="1"/>
  <c r="H5" i="7" s="1"/>
  <c r="H6" i="7" a="1"/>
  <c r="H6" i="7" s="1"/>
  <c r="H7" i="7" a="1"/>
  <c r="H7" i="7" s="1"/>
  <c r="H8" i="7" a="1"/>
  <c r="H8" i="7" s="1"/>
  <c r="H9" i="7" a="1"/>
  <c r="H9" i="7" s="1"/>
  <c r="H10" i="7" a="1"/>
  <c r="H10" i="7" s="1"/>
  <c r="H11" i="7" a="1"/>
  <c r="H11" i="7" s="1"/>
  <c r="H12" i="7" a="1"/>
  <c r="H12" i="7" s="1"/>
  <c r="H13" i="7" a="1"/>
  <c r="H13" i="7" s="1"/>
  <c r="H14" i="7" a="1"/>
  <c r="H14" i="7" s="1"/>
  <c r="H15" i="7" a="1"/>
  <c r="H15" i="7" s="1"/>
  <c r="H16" i="7" a="1"/>
  <c r="H16" i="7" s="1"/>
  <c r="H17" i="7" a="1"/>
  <c r="H17" i="7" s="1"/>
  <c r="H18" i="7" a="1"/>
  <c r="H18" i="7" s="1"/>
  <c r="H19" i="7" a="1"/>
  <c r="H19" i="7" s="1"/>
  <c r="H20" i="7" a="1"/>
  <c r="H20" i="7" s="1"/>
  <c r="H21" i="7" a="1"/>
  <c r="H21" i="7" s="1"/>
  <c r="H22" i="7" a="1"/>
  <c r="H22" i="7" s="1"/>
  <c r="H23" i="7" a="1"/>
  <c r="H23" i="7" s="1"/>
  <c r="H24" i="7" a="1"/>
  <c r="H24" i="7" s="1"/>
  <c r="H25" i="7" a="1"/>
  <c r="H25" i="7" s="1"/>
  <c r="H26" i="7" a="1"/>
  <c r="H26" i="7" s="1"/>
  <c r="H27" i="7" a="1"/>
  <c r="H27" i="7" s="1"/>
  <c r="H28" i="7" a="1"/>
  <c r="H28" i="7" s="1"/>
  <c r="H29" i="7" a="1"/>
  <c r="H29" i="7" s="1"/>
  <c r="H30" i="7" a="1"/>
  <c r="H30" i="7" s="1"/>
  <c r="H31" i="7" a="1"/>
  <c r="H31" i="7" s="1"/>
  <c r="H32" i="7" a="1"/>
  <c r="H32" i="7" s="1"/>
  <c r="H33" i="7" a="1"/>
  <c r="H33" i="7" s="1"/>
  <c r="H34" i="7" a="1"/>
  <c r="H34" i="7" s="1"/>
  <c r="H35" i="7" a="1"/>
  <c r="H35" i="7" s="1"/>
  <c r="H36" i="7" a="1"/>
  <c r="H36" i="7" s="1"/>
  <c r="H37" i="7" a="1"/>
  <c r="H37" i="7" s="1"/>
  <c r="H38" i="7" a="1"/>
  <c r="H38" i="7" s="1"/>
  <c r="H39" i="7" a="1"/>
  <c r="H39" i="7" s="1"/>
  <c r="H40" i="7" a="1"/>
  <c r="H40" i="7" s="1"/>
  <c r="H41" i="7" a="1"/>
  <c r="H41" i="7" s="1"/>
  <c r="H42" i="7" a="1"/>
  <c r="H42" i="7" s="1"/>
  <c r="H43" i="7" a="1"/>
  <c r="H43" i="7" s="1"/>
  <c r="H44" i="7" a="1"/>
  <c r="H44" i="7" s="1"/>
  <c r="H45" i="7" a="1"/>
  <c r="H45" i="7" s="1"/>
  <c r="H46" i="7" a="1"/>
  <c r="H46" i="7" s="1"/>
  <c r="H47" i="7" a="1"/>
  <c r="H47" i="7" s="1"/>
  <c r="H48" i="7" a="1"/>
  <c r="H48" i="7" s="1"/>
  <c r="H49" i="7" a="1"/>
  <c r="H49" i="7" s="1"/>
  <c r="H50" i="7" a="1"/>
  <c r="H50" i="7" s="1"/>
  <c r="H51" i="7" a="1"/>
  <c r="H51" i="7" s="1"/>
  <c r="H52" i="7" a="1"/>
  <c r="H52" i="7" s="1"/>
  <c r="H53" i="7" a="1"/>
  <c r="H53" i="7" s="1"/>
  <c r="H54" i="7" a="1"/>
  <c r="H54" i="7" s="1"/>
  <c r="H55" i="7" a="1"/>
  <c r="H55" i="7" s="1"/>
  <c r="H56" i="7" a="1"/>
  <c r="H56" i="7" s="1"/>
  <c r="H57" i="7" a="1"/>
  <c r="H57" i="7" s="1"/>
  <c r="H58" i="7" a="1"/>
  <c r="H58" i="7" s="1"/>
  <c r="H59" i="7" a="1"/>
  <c r="H59" i="7" s="1"/>
  <c r="H60" i="7" a="1"/>
  <c r="H60" i="7" s="1"/>
  <c r="H61" i="7" a="1"/>
  <c r="H61" i="7" s="1"/>
  <c r="H62" i="7" a="1"/>
  <c r="H62" i="7" s="1"/>
  <c r="H63" i="7" a="1"/>
  <c r="H63" i="7" s="1"/>
  <c r="H64" i="7" a="1"/>
  <c r="H64" i="7" s="1"/>
  <c r="H65" i="7" a="1"/>
  <c r="H65" i="7" s="1"/>
  <c r="H66" i="7" a="1"/>
  <c r="H66" i="7" s="1"/>
  <c r="H67" i="7" a="1"/>
  <c r="H67" i="7" s="1"/>
  <c r="H68" i="7" a="1"/>
  <c r="H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C3" i="7"/>
  <c r="B4" i="7"/>
  <c r="D7" i="7"/>
  <c r="E8" i="7"/>
  <c r="D9" i="7"/>
  <c r="B11" i="7"/>
  <c r="C12" i="7"/>
  <c r="D13" i="7"/>
  <c r="C14" i="7"/>
  <c r="F15" i="7"/>
  <c r="D16" i="7"/>
  <c r="F17" i="7"/>
  <c r="C18" i="7"/>
  <c r="E25" i="7"/>
  <c r="D29" i="7"/>
  <c r="B30" i="7"/>
  <c r="D31" i="7"/>
  <c r="C35" i="7"/>
  <c r="D38" i="7"/>
  <c r="D41" i="7"/>
  <c r="D43" i="7"/>
  <c r="F44" i="7"/>
  <c r="C45" i="7"/>
  <c r="C47" i="7"/>
  <c r="C49" i="7"/>
  <c r="C51" i="7"/>
  <c r="E54" i="7"/>
  <c r="F56" i="7"/>
  <c r="F57" i="7"/>
  <c r="F58" i="7"/>
  <c r="B65" i="7"/>
  <c r="B66" i="7"/>
  <c r="B67" i="7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8" i="7" l="1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  <c r="B7" i="4" l="1"/>
  <c r="F4" i="4"/>
  <c r="G4" i="4"/>
  <c r="E4" i="4"/>
  <c r="B4" i="4"/>
  <c r="D4" i="4"/>
  <c r="C4" i="4"/>
  <c r="H4" i="4"/>
  <c r="E10" i="4"/>
  <c r="B10" i="4"/>
  <c r="F10" i="4"/>
  <c r="G10" i="4"/>
  <c r="D10" i="4"/>
  <c r="C10" i="4"/>
  <c r="H10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F12" i="4"/>
  <c r="E12" i="4"/>
  <c r="D12" i="4"/>
  <c r="B12" i="4"/>
  <c r="C12" i="4"/>
  <c r="H12" i="4"/>
  <c r="G12" i="4"/>
  <c r="H19" i="4"/>
  <c r="G19" i="4"/>
  <c r="B19" i="4"/>
  <c r="D19" i="4"/>
  <c r="C19" i="4"/>
  <c r="F19" i="4"/>
  <c r="E19" i="4"/>
  <c r="H13" i="4"/>
  <c r="G13" i="4"/>
  <c r="C13" i="4"/>
  <c r="B13" i="4"/>
  <c r="E13" i="4"/>
  <c r="F13" i="4"/>
  <c r="D13" i="4"/>
  <c r="H9" i="4"/>
  <c r="F9" i="4"/>
  <c r="B9" i="4"/>
  <c r="C9" i="4"/>
  <c r="E9" i="4"/>
  <c r="D9" i="4"/>
  <c r="G9" i="4"/>
  <c r="E7" i="4"/>
  <c r="H7" i="4"/>
  <c r="G7" i="4"/>
  <c r="C7" i="4"/>
  <c r="D7" i="4"/>
  <c r="F7" i="4"/>
  <c r="G18" i="4"/>
  <c r="E18" i="4"/>
  <c r="D18" i="4"/>
  <c r="H18" i="4"/>
  <c r="C18" i="4"/>
  <c r="F18" i="4"/>
  <c r="B18" i="4"/>
  <c r="F17" i="4"/>
  <c r="G17" i="4"/>
  <c r="E17" i="4"/>
  <c r="D17" i="4"/>
  <c r="H17" i="4"/>
  <c r="B17" i="4"/>
  <c r="C17" i="4"/>
  <c r="C5" i="4"/>
  <c r="E5" i="4"/>
  <c r="H5" i="4"/>
  <c r="G5" i="4"/>
  <c r="F5" i="4"/>
  <c r="B5" i="4"/>
  <c r="D5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F15" i="4"/>
  <c r="G15" i="4"/>
  <c r="C15" i="4"/>
  <c r="D15" i="4"/>
  <c r="E15" i="4"/>
  <c r="H15" i="4"/>
  <c r="B15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2" i="4"/>
  <c r="G2" i="4"/>
  <c r="E2" i="4"/>
  <c r="H2" i="4"/>
  <c r="D2" i="4"/>
  <c r="F2" i="4"/>
  <c r="D14" i="3"/>
  <c r="D5" i="3"/>
  <c r="D7" i="3"/>
  <c r="D6" i="3"/>
  <c r="D11" i="3"/>
  <c r="D17" i="3"/>
  <c r="D13" i="3"/>
  <c r="D18" i="3"/>
  <c r="D8" i="3"/>
  <c r="A2" i="4"/>
  <c r="D3" i="3"/>
  <c r="D15" i="3"/>
  <c r="D4" i="3"/>
  <c r="D9" i="3"/>
  <c r="D10" i="3"/>
  <c r="D12" i="3"/>
  <c r="D16" i="3"/>
  <c r="D2" i="3"/>
  <c r="I2" i="4" l="1"/>
  <c r="I12" i="4"/>
  <c r="I11" i="4"/>
  <c r="I18" i="4"/>
  <c r="I13" i="4"/>
  <c r="I9" i="4"/>
  <c r="I4" i="4"/>
  <c r="I10" i="4"/>
  <c r="I7" i="4"/>
  <c r="I8" i="4"/>
  <c r="I17" i="4"/>
  <c r="I14" i="4"/>
  <c r="I5" i="4"/>
  <c r="I3" i="4"/>
  <c r="I16" i="4"/>
  <c r="I19" i="4"/>
  <c r="I6" i="4"/>
  <c r="I1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<sst xmlns="http://schemas.openxmlformats.org/spreadsheetml/2006/main" count="294" uniqueCount="69">
  <si>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</si>
  <si>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</si>
  <si>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</si>
  <si>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</si>
  <si>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</si>
  <si>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</si>
  <si>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</si>
  <si>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</si>
  <si>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</si>
  <si>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</si>
  <si>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</si>
  <si>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</si>
  <si>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</si>
  <si>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</si>
  <si>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</si>
  <si>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</si>
  <si>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April Cinco</t>
  </si>
  <si>
    <t>00:00 - 11:00</t>
  </si>
  <si>
    <t>OFF</t>
  </si>
  <si>
    <t>Christopher Borromeo</t>
  </si>
  <si>
    <t>01:00 - 12:00</t>
  </si>
  <si>
    <t>Asleth Montemayor</t>
  </si>
  <si>
    <t>15:00 - 02:00</t>
  </si>
  <si>
    <t>Brenda Lyn Degracia</t>
  </si>
  <si>
    <t>08:00 - 19:00</t>
  </si>
  <si>
    <t>Michael Dominguez</t>
  </si>
  <si>
    <t>Contessa Cirujales</t>
  </si>
  <si>
    <t>13:00 - 00:00</t>
  </si>
  <si>
    <t>Janice Martirez</t>
  </si>
  <si>
    <t>04:00 - 15:00</t>
  </si>
  <si>
    <t>Jarrah Jane De Castro</t>
  </si>
  <si>
    <t>17:00 - 04:00</t>
  </si>
  <si>
    <t>Jessica Mary Acuna</t>
  </si>
  <si>
    <t>Jewel Lei Sara</t>
  </si>
  <si>
    <t>12:00 - 23:00</t>
  </si>
  <si>
    <t>Christopher Rodas</t>
  </si>
  <si>
    <t>Jhon Lloyd Camero</t>
  </si>
  <si>
    <t>Jose Saldy Rubio</t>
  </si>
  <si>
    <t>Jubell Matanguihan</t>
  </si>
  <si>
    <t>02:00 - 13:00</t>
  </si>
  <si>
    <t>Lyka Mae Basco</t>
  </si>
  <si>
    <t>Nelson Tamayo</t>
  </si>
  <si>
    <t>Manilyn Abellar</t>
  </si>
  <si>
    <t>Ressan Resus</t>
  </si>
  <si>
    <t>Roel Gutay</t>
  </si>
  <si>
    <t>06:00 - 17:00</t>
  </si>
  <si>
    <t>Anmheca Valencia</t>
  </si>
  <si>
    <t>Ronald Balitos</t>
  </si>
  <si>
    <t>Remmo Panaligan</t>
  </si>
  <si>
    <t>Rossner Adonis</t>
  </si>
  <si>
    <t>11:00 - 22:00</t>
  </si>
  <si>
    <t>Rudylyn Gay May Tabor</t>
  </si>
  <si>
    <t>09:00 - 20:00</t>
  </si>
  <si>
    <t>PH SHIFT</t>
  </si>
  <si>
    <t>OFFSET</t>
  </si>
  <si>
    <t>03:00 - 14:00</t>
  </si>
  <si>
    <t>20:00 - 07:00</t>
  </si>
  <si>
    <t>16:00 - 03:00</t>
  </si>
  <si>
    <t>05:00 - 16:00</t>
  </si>
  <si>
    <t>14:00 - 01:00</t>
  </si>
  <si>
    <t>18:00 - 05:00</t>
  </si>
  <si>
    <t>23:00 - 10:00</t>
  </si>
  <si>
    <t>21:00 - 08:00</t>
  </si>
  <si>
    <t>Shift EST</t>
  </si>
  <si>
    <t>Shift</t>
  </si>
  <si>
    <t>EST Date</t>
  </si>
  <si>
    <t>Reason</t>
  </si>
  <si>
    <t>Erica Mae Villamor</t>
  </si>
  <si>
    <t>Mon - Tue - 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</si>
</sst>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6" formatCode="h:mm:ss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5" xfId="0" applyBorder="1"/>
    <xf numFmtId="0" fontId="1" fillId="0" borderId="0" xfId="0" applyFont="1"/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7" borderId="10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7" fillId="5" borderId="0" xfId="0" applyFont="1" applyFill="1"/>
    <xf numFmtId="0" fontId="6" fillId="3" borderId="13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7" fillId="0" borderId="1" xfId="0" applyFont="1" applyBorder="1"/>
    <xf numFmtId="0" fontId="1" fillId="0" borderId="14" xfId="0" applyFont="1" applyBorder="1"/>
    <xf numFmtId="0" fontId="1" fillId="0" borderId="9" xfId="0" applyFont="1" applyBorder="1"/>
    <xf numFmtId="0" fontId="1" fillId="0" borderId="7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4" xfId="0" applyBorder="1" applyAlignment="1">
      <alignment horizontal="center"/>
    </xf>
    <xf numFmtId="20" fontId="2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6" borderId="1" xfId="0" applyFill="1" applyBorder="1"/>
    <xf numFmtId="0" fontId="1" fillId="6" borderId="1" xfId="0" applyFont="1" applyFill="1" applyBorder="1"/>
    <xf numFmtId="20" fontId="0" fillId="6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NumberFormat="1" applyFill="1" applyBorder="1" applyAlignment="1">
      <alignment horizontal="center"/>
    </xf>
    <xf numFmtId="20" fontId="2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0" fillId="0" borderId="0" xfId="0" applyFill="1"/>
    <xf numFmtId="0" fontId="1" fillId="0" borderId="0" xfId="0" applyFont="1" applyBorder="1"/>
    <xf numFmtId="166" fontId="0" fillId="0" borderId="1" xfId="0" applyNumberFormat="1" applyBorder="1"/>
    <xf numFmtId="0" fontId="0" fillId="0" borderId="0" xfId="0" applyBorder="1" applyAlignment="1">
      <alignment horizontal="center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50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4" totalsRowShown="0" headerRowDxfId="46" dataDxfId="45">
  <autoFilter ref="A1:P64" xr:uid="{7ABFA2A7-F67E-4B2A-A8BF-BEE95EA31C8C}"/>
  <sortState xmlns:xlrd2="http://schemas.microsoft.com/office/spreadsheetml/2017/richdata2" ref="A2:P64">
    <sortCondition ref="A1:A64"/>
  </sortState>
  <tableColumns count="16">
    <tableColumn id="1" xr3:uid="{311D3BBD-E613-4DFC-BAEE-EFBB3B28FB24}" name="Name"/>
    <tableColumn id="2" xr3:uid="{8F9001A5-53DA-4394-B0E5-25F630DB5BF6}" name="Monday" dataDxfId="44"/>
    <tableColumn id="3" xr3:uid="{3E5E1574-0687-42F8-83FC-FF1DC5A3A1CD}" name="Tuesday" dataDxfId="43"/>
    <tableColumn id="4" xr3:uid="{F68D4C7A-FCEC-416D-AFAD-938A63C9CBEF}" name="Wednesday" dataDxfId="42"/>
    <tableColumn id="5" xr3:uid="{1F93A4D0-18D3-489D-A117-3EA1B5FCDA6B}" name="Thursday" dataDxfId="41"/>
    <tableColumn id="6" xr3:uid="{F7EB6F67-1D2C-4168-B022-EBE1D0A8C53E}" name="Friday" dataDxfId="40"/>
    <tableColumn id="7" xr3:uid="{4468F089-19B5-46D6-B159-26D48BEE6069}" name="Saturday" dataDxfId="39"/>
    <tableColumn id="8" xr3:uid="{656D0C06-0D87-4AF0-92B8-E6F1E82CBC64}" name="Sunday" dataDxfId="38"/>
    <tableColumn id="9" xr3:uid="{B97D3317-68FD-4A57-885E-707D52D263B4}" name="Rest Day" dataDxfId="37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6"/>
    <tableColumn id="11" xr3:uid="{88924D9B-8678-4178-BEFB-215AA9009733}" name="Break 2" dataDxfId="35"/>
    <tableColumn id="12" xr3:uid="{C59CED7B-F5BE-4814-869E-CE877E479C6F}" name="Lunch" dataDxfId="34"/>
    <tableColumn id="13" xr3:uid="{D65400CD-D6ED-42E4-B248-2E26156D6E50}" name="Break 3" dataDxfId="33"/>
    <tableColumn id="14" xr3:uid="{CE201AE6-41C0-49DC-AEBC-553D2850C4E3}" name="Supervisor" dataDxfId="32"/>
    <tableColumn id="15" xr3:uid="{83DD762A-DAE0-4AFE-8CA5-492B818BB79A}" name="EST SHIFT" dataDxfId="31"/>
    <tableColumn id="16" xr3:uid="{E5884264-6259-4BC2-9654-B2991AB594FD}" name="Column1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9" dataDxfId="28">
  <autoFilter ref="A1:P67" xr:uid="{94473D84-D9EA-4A0A-B91F-B5DB26D776E2}"/>
  <tableColumns count="16">
    <tableColumn id="1" xr3:uid="{D0B0696F-75FC-4AFF-A11B-C5D46CC25C78}" name="Name" dataDxfId="27">
      <calculatedColumnFormula>Table2[[#This Row],[Name]]</calculatedColumnFormula>
    </tableColumn>
    <tableColumn id="2" xr3:uid="{BBF0B479-620B-4B71-BB9A-1F4E5FBB2C82}" name="Monday" dataDxfId="26"/>
    <tableColumn id="3" xr3:uid="{F4D315E5-0361-4733-A5E1-09F451DC19DD}" name="Tuesday" dataDxfId="25"/>
    <tableColumn id="4" xr3:uid="{2E476E27-E48D-4AD9-BD5F-522EF6FC58A0}" name="Wednesday" dataDxfId="24"/>
    <tableColumn id="5" xr3:uid="{A18B12AD-041B-4C04-9106-2824C53C1DE2}" name="Thursday" dataDxfId="23"/>
    <tableColumn id="6" xr3:uid="{0E90988C-50D8-43F9-926F-8CBAA6CF48A6}" name="Friday" dataDxfId="22"/>
    <tableColumn id="7" xr3:uid="{1EA1CACD-D7F8-417C-AD10-6AE8B3F951AF}" name="Saturday" dataDxfId="21"/>
    <tableColumn id="8" xr3:uid="{DC9C8B77-9487-45DC-B5CA-C948E19F7C3B}" name="Sunday" dataDxfId="20"/>
    <tableColumn id="9" xr3:uid="{66009700-7181-415F-BE1E-8B3368A13FF7}" name="Rest Day" dataDxfId="19"/>
    <tableColumn id="10" xr3:uid="{D17B8E11-9A58-48EF-919A-BD4ABB27F564}" name="Break 1" dataDxfId="18"/>
    <tableColumn id="11" xr3:uid="{44378E06-1320-4348-BB95-2AA160393F58}" name="Break 2" dataDxfId="17"/>
    <tableColumn id="12" xr3:uid="{843CA1FD-F228-49F9-BD5D-F8CAF978B199}" name="Lunch" dataDxfId="16"/>
    <tableColumn id="13" xr3:uid="{66403EC5-BF40-49EC-AC72-576350FD2523}" name="Break 3" dataDxfId="15"/>
    <tableColumn id="14" xr3:uid="{3756309B-9082-4BF0-8B84-8D7322F3FF86}" name="Supervisor" dataDxfId="14"/>
    <tableColumn id="15" xr3:uid="{F72805BC-41F7-4089-876A-3AA562898F65}" name="PH SHIFT" dataDxfId="13"/>
    <tableColumn id="16" xr3:uid="{17F73FE5-6305-48B3-872C-53656D5EBDA7}" name="OFFSET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1" headerRowBorderDxfId="10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9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R68"/>
  <sheetViews>
    <sheetView zoomScaleNormal="100" workbookViewId="0">
      <pane ySplit="1" topLeftCell="A2" activePane="bottomLeft" state="frozen"/>
      <selection pane="bottomLeft" activeCell="P20" sqref="P20"/>
    </sheetView>
  </sheetViews>
  <sheetFormatPr defaultRowHeight="15" customHeight="1"/>
  <cols>
    <col min="1" max="1" width="26.85546875" bestFit="1" customWidth="1"/>
    <col min="2" max="3" width="12.42578125" bestFit="1" customWidth="1"/>
    <col min="4" max="4" width="13.85546875" bestFit="1" customWidth="1"/>
    <col min="5" max="7" width="12.42578125" bestFit="1" customWidth="1"/>
    <col min="8" max="8" width="12.42578125" customWidth="1"/>
    <col min="9" max="9" width="14.85546875" customWidth="1"/>
    <col min="10" max="11" width="10" customWidth="1"/>
    <col min="12" max="12" width="8.85546875" customWidth="1"/>
    <col min="13" max="13" width="10" customWidth="1"/>
    <col min="14" max="14" width="20.28515625" customWidth="1"/>
    <col min="15" max="15" width="12.42578125" customWidth="1"/>
    <col min="16" max="16" width="11.5703125" customWidth="1"/>
  </cols>
  <sheetData>
    <row r="1" spans="1:96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8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t="s">
        <v>15</v>
      </c>
    </row>
    <row r="2" spans="1:96">
      <c r="A2" s="6" t="s">
        <v>16</v>
      </c>
      <c r="B2" s="1" t="s">
        <v>17</v>
      </c>
      <c r="C2" s="1" t="s">
        <v>17</v>
      </c>
      <c r="D2" s="1" t="s">
        <v>17</v>
      </c>
      <c r="E2" s="1" t="s">
        <v>17</v>
      </c>
      <c r="F2" s="1" t="s">
        <v>18</v>
      </c>
      <c r="G2" s="1" t="s">
        <v>18</v>
      </c>
      <c r="H2" s="1" t="s">
        <v>18</v>
      </c>
      <c r="I2" s="2" t="str">
        <f>_xlfn.TEXTJOIN(" - ",TRUE,
IF(B2="OFF","Mon",""),
IF(C2="OFF","Tue",""),
IF(D2="OFF","Wed",""),
IF(E2="OFF","Thu",""),
IF(F2="OFF","Fri",""),
IF(G2="OFF","Sat",""),
IF(H2="OFF","Sun",""))</f>
        <v>Fri - Sat - Sun</v>
      </c>
      <c r="J2" s="39">
        <v>0.1875</v>
      </c>
      <c r="K2" s="39">
        <v>0.28125</v>
      </c>
      <c r="L2" s="39">
        <v>8.3333333333333329E-2</v>
      </c>
      <c r="M2" s="39">
        <v>0.375</v>
      </c>
      <c r="N2" s="32" t="s">
        <v>19</v>
      </c>
      <c r="O2" s="1" t="s">
        <v>20</v>
      </c>
      <c r="P2">
        <f>IF(O2="OFF",0,IF(VALUE(LEFT(O2,2))&lt;12,0,1))</f>
        <v>0</v>
      </c>
    </row>
    <row r="3" spans="1:96">
      <c r="A3" s="6" t="s">
        <v>21</v>
      </c>
      <c r="B3" s="1" t="s">
        <v>18</v>
      </c>
      <c r="C3" s="1" t="s">
        <v>22</v>
      </c>
      <c r="D3" s="1" t="s">
        <v>22</v>
      </c>
      <c r="E3" s="1" t="s">
        <v>22</v>
      </c>
      <c r="F3" s="1" t="s">
        <v>22</v>
      </c>
      <c r="G3" s="1" t="s">
        <v>18</v>
      </c>
      <c r="H3" s="1" t="s">
        <v>18</v>
      </c>
      <c r="I3" s="2" t="str">
        <f>_xlfn.TEXTJOIN(" - ",TRUE,
IF(B3="OFF","Mon",""),
IF(C3="OFF","Tue",""),
IF(D3="OFF","Wed",""),
IF(E3="OFF","Thu",""),
IF(F3="OFF","Fri",""),
IF(G3="OFF","Sat",""),
IF(H3="OFF","Sun",""))</f>
        <v>Mon - Sat - Sun</v>
      </c>
      <c r="J3" s="3">
        <v>0.72916666666666663</v>
      </c>
      <c r="K3" s="3">
        <v>0.79166666666666663</v>
      </c>
      <c r="L3" s="3">
        <v>0.89583333333333337</v>
      </c>
      <c r="M3" s="3">
        <v>2.0833333333333329E-2</v>
      </c>
      <c r="N3" s="32" t="s">
        <v>19</v>
      </c>
      <c r="O3" s="1" t="s">
        <v>22</v>
      </c>
      <c r="P3">
        <f>IF(O3="OFF",0,IF(VALUE(LEFT(O3,2))&lt;12,0,1))</f>
        <v>1</v>
      </c>
    </row>
    <row r="4" spans="1:96">
      <c r="A4" s="6" t="s">
        <v>23</v>
      </c>
      <c r="B4" s="1" t="s">
        <v>24</v>
      </c>
      <c r="C4" s="1" t="s">
        <v>24</v>
      </c>
      <c r="D4" s="1" t="s">
        <v>24</v>
      </c>
      <c r="E4" s="1" t="s">
        <v>24</v>
      </c>
      <c r="F4" s="1" t="s">
        <v>18</v>
      </c>
      <c r="G4" s="1" t="s">
        <v>18</v>
      </c>
      <c r="H4" s="1" t="s">
        <v>18</v>
      </c>
      <c r="I4" s="2" t="str">
        <f>_xlfn.TEXTJOIN(" - ",TRUE,
IF(B4="OFF","Mon",""),
IF(C4="OFF","Tue",""),
IF(D4="OFF","Wed",""),
IF(E4="OFF","Thu",""),
IF(F4="OFF","Fri",""),
IF(G4="OFF","Sat",""),
IF(H4="OFF","Sun",""))</f>
        <v>Fri - Sat - Sun</v>
      </c>
      <c r="J4" s="3">
        <v>0.41666666666666669</v>
      </c>
      <c r="K4" s="3">
        <v>0.5</v>
      </c>
      <c r="L4" s="3">
        <v>0.70833333333333337</v>
      </c>
      <c r="M4" s="3">
        <v>0.58333333333333337</v>
      </c>
      <c r="N4" s="4" t="s">
        <v>25</v>
      </c>
      <c r="O4" s="1" t="s">
        <v>24</v>
      </c>
      <c r="P4">
        <f>IF(O4="OFF",0,IF(VALUE(LEFT(O4,2))&lt;12,0,1))</f>
        <v>0</v>
      </c>
    </row>
    <row r="5" spans="1:96">
      <c r="A5" s="6" t="s">
        <v>26</v>
      </c>
      <c r="B5" s="1" t="s">
        <v>27</v>
      </c>
      <c r="C5" s="1" t="s">
        <v>27</v>
      </c>
      <c r="D5" s="1" t="s">
        <v>18</v>
      </c>
      <c r="E5" s="1" t="s">
        <v>18</v>
      </c>
      <c r="F5" s="1" t="s">
        <v>18</v>
      </c>
      <c r="G5" s="1" t="s">
        <v>27</v>
      </c>
      <c r="H5" s="1" t="s">
        <v>27</v>
      </c>
      <c r="I5" s="2" t="str">
        <f>_xlfn.TEXTJOIN(" - ",TRUE,
IF(B5="OFF","Mon",""),
IF(C5="OFF","Tue",""),
IF(D5="OFF","Wed",""),
IF(E5="OFF","Thu",""),
IF(F5="OFF","Fri",""),
IF(G5="OFF","Sat",""),
IF(H5="OFF","Sun",""))</f>
        <v>Wed - Thu - Fri</v>
      </c>
      <c r="J5" s="3">
        <v>0.61458333333333337</v>
      </c>
      <c r="K5" s="3">
        <v>0.69791666666666663</v>
      </c>
      <c r="L5" s="3">
        <v>0.77083333333333337</v>
      </c>
      <c r="M5" s="3">
        <v>0.89583333333333337</v>
      </c>
      <c r="N5" s="32" t="s">
        <v>19</v>
      </c>
      <c r="O5" s="1" t="s">
        <v>27</v>
      </c>
      <c r="P5">
        <f>IF(O5="OFF",0,IF(VALUE(LEFT(O5,2))&lt;12,0,1))</f>
        <v>1</v>
      </c>
    </row>
    <row r="6" spans="1:96">
      <c r="A6" s="6" t="s">
        <v>28</v>
      </c>
      <c r="B6" s="1" t="s">
        <v>18</v>
      </c>
      <c r="C6" s="1" t="s">
        <v>18</v>
      </c>
      <c r="D6" s="1" t="s">
        <v>29</v>
      </c>
      <c r="E6" s="1" t="s">
        <v>29</v>
      </c>
      <c r="F6" s="1" t="s">
        <v>29</v>
      </c>
      <c r="G6" s="1" t="s">
        <v>29</v>
      </c>
      <c r="H6" s="1" t="s">
        <v>18</v>
      </c>
      <c r="I6" s="2" t="str">
        <f>_xlfn.TEXTJOIN(" - ",TRUE,
IF(B6="OFF","Mon",""),
IF(C6="OFF","Tue",""),
IF(D6="OFF","Wed",""),
IF(E6="OFF","Thu",""),
IF(F6="OFF","Fri",""),
IF(G6="OFF","Sat",""),
IF(H6="OFF","Sun",""))</f>
        <v>Mon - Tue - Sun</v>
      </c>
      <c r="J6" s="3">
        <v>0.38541666666666669</v>
      </c>
      <c r="K6" s="3">
        <v>0.48958333333333331</v>
      </c>
      <c r="L6" s="3">
        <v>0.25</v>
      </c>
      <c r="M6" s="3">
        <v>0.57291666666666663</v>
      </c>
      <c r="N6" s="32" t="s">
        <v>19</v>
      </c>
      <c r="O6" s="1" t="s">
        <v>29</v>
      </c>
      <c r="P6">
        <f>IF(O6="OFF",0,IF(VALUE(LEFT(O6,2))&lt;12,0,1))</f>
        <v>0</v>
      </c>
    </row>
    <row r="7" spans="1:96" s="14" customFormat="1">
      <c r="A7" s="6" t="s">
        <v>30</v>
      </c>
      <c r="B7" s="1" t="s">
        <v>31</v>
      </c>
      <c r="C7" s="1" t="s">
        <v>31</v>
      </c>
      <c r="D7" s="1" t="s">
        <v>31</v>
      </c>
      <c r="E7" s="1" t="s">
        <v>31</v>
      </c>
      <c r="F7" s="1" t="s">
        <v>18</v>
      </c>
      <c r="G7" s="1" t="s">
        <v>18</v>
      </c>
      <c r="H7" s="1" t="s">
        <v>18</v>
      </c>
      <c r="I7" s="2" t="str">
        <f>_xlfn.TEXTJOIN(" - ",TRUE,
IF(B7="OFF","Mon",""),
IF(C7="OFF","Tue",""),
IF(D7="OFF","Wed",""),
IF(E7="OFF","Thu",""),
IF(F7="OFF","Fri",""),
IF(G7="OFF","Sat",""),
IF(H7="OFF","Sun",""))</f>
        <v>Fri - Sat - Sun</v>
      </c>
      <c r="J7" s="3">
        <v>0.79166666666666663</v>
      </c>
      <c r="K7" s="3">
        <v>0.53125</v>
      </c>
      <c r="L7" s="3">
        <v>0.92708333333333337</v>
      </c>
      <c r="M7" s="3">
        <v>0.1145833333333333</v>
      </c>
      <c r="N7" s="32" t="s">
        <v>19</v>
      </c>
      <c r="O7" s="1" t="s">
        <v>31</v>
      </c>
      <c r="P7">
        <f>IF(O7="OFF",0,IF(VALUE(LEFT(O7,2))&lt;12,0,1))</f>
        <v>1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</row>
    <row r="8" spans="1:96">
      <c r="A8" s="6" t="s">
        <v>32</v>
      </c>
      <c r="B8" s="1" t="s">
        <v>31</v>
      </c>
      <c r="C8" s="1" t="s">
        <v>31</v>
      </c>
      <c r="D8" s="1" t="s">
        <v>31</v>
      </c>
      <c r="E8" s="1" t="s">
        <v>18</v>
      </c>
      <c r="F8" s="1" t="s">
        <v>18</v>
      </c>
      <c r="G8" s="1" t="s">
        <v>18</v>
      </c>
      <c r="H8" s="1" t="s">
        <v>31</v>
      </c>
      <c r="I8" s="2" t="str">
        <f>_xlfn.TEXTJOIN(" - ",TRUE,
IF(B8="OFF","Mon",""),
IF(C8="OFF","Tue",""),
IF(D8="OFF","Wed",""),
IF(E8="OFF","Thu",""),
IF(F8="OFF","Fri",""),
IF(G8="OFF","Sat",""),
IF(H8="OFF","Sun",""))</f>
        <v>Thu - Fri - Sat</v>
      </c>
      <c r="J8" s="3">
        <v>0.8125</v>
      </c>
      <c r="K8" s="3">
        <v>0.40625</v>
      </c>
      <c r="L8" s="3">
        <v>4.1666666666666657E-2</v>
      </c>
      <c r="M8" s="3">
        <v>0.13541666666666671</v>
      </c>
      <c r="N8" s="32" t="s">
        <v>19</v>
      </c>
      <c r="O8" s="1" t="s">
        <v>31</v>
      </c>
      <c r="P8">
        <f>IF(O8="OFF",0,IF(VALUE(LEFT(O8,2))&lt;12,0,1))</f>
        <v>1</v>
      </c>
    </row>
    <row r="9" spans="1:96">
      <c r="A9" s="6" t="s">
        <v>33</v>
      </c>
      <c r="B9" s="1" t="s">
        <v>18</v>
      </c>
      <c r="C9" s="1" t="s">
        <v>18</v>
      </c>
      <c r="D9" s="1" t="s">
        <v>34</v>
      </c>
      <c r="E9" s="1" t="s">
        <v>34</v>
      </c>
      <c r="F9" s="1" t="s">
        <v>34</v>
      </c>
      <c r="G9" s="1" t="s">
        <v>34</v>
      </c>
      <c r="H9" s="1" t="s">
        <v>18</v>
      </c>
      <c r="I9" s="2" t="str">
        <f>_xlfn.TEXTJOIN(" - ",TRUE,
IF(B9="OFF","Mon",""),
IF(C9="OFF","Tue",""),
IF(D9="OFF","Wed",""),
IF(E9="OFF","Thu",""),
IF(F9="OFF","Fri",""),
IF(G9="OFF","Sat",""),
IF(H9="OFF","Sun",""))</f>
        <v>Mon - Tue - Sun</v>
      </c>
      <c r="J9" s="3">
        <v>0.59375</v>
      </c>
      <c r="K9" s="3">
        <v>0.6875</v>
      </c>
      <c r="L9" s="3">
        <v>0.78125</v>
      </c>
      <c r="M9" s="3">
        <v>0.89583333333333337</v>
      </c>
      <c r="N9" s="57" t="s">
        <v>35</v>
      </c>
      <c r="O9" s="1" t="s">
        <v>34</v>
      </c>
      <c r="P9">
        <f>IF(O9="OFF",0,IF(VALUE(LEFT(O9,2))&lt;12,0,1))</f>
        <v>1</v>
      </c>
    </row>
    <row r="10" spans="1:96">
      <c r="A10" s="6" t="s">
        <v>36</v>
      </c>
      <c r="B10" s="1" t="s">
        <v>29</v>
      </c>
      <c r="C10" s="1" t="s">
        <v>29</v>
      </c>
      <c r="D10" s="1" t="s">
        <v>29</v>
      </c>
      <c r="E10" s="1" t="s">
        <v>18</v>
      </c>
      <c r="F10" s="1" t="s">
        <v>18</v>
      </c>
      <c r="G10" s="1" t="s">
        <v>18</v>
      </c>
      <c r="H10" s="1" t="s">
        <v>29</v>
      </c>
      <c r="I10" s="2" t="str">
        <f>_xlfn.TEXTJOIN(" - ",TRUE,
IF(B10="OFF","Mon",""),
IF(C10="OFF","Tue",""),
IF(D10="OFF","Wed",""),
IF(E10="OFF","Thu",""),
IF(F10="OFF","Fri",""),
IF(G10="OFF","Sat",""),
IF(H10="OFF","Sun",""))</f>
        <v>Thu - Fri - Sat</v>
      </c>
      <c r="J10" s="3">
        <v>0.22916666666666671</v>
      </c>
      <c r="K10" s="3">
        <v>0.4375</v>
      </c>
      <c r="L10" s="3">
        <v>0.29166666666666669</v>
      </c>
      <c r="M10" s="3">
        <v>0.53125</v>
      </c>
      <c r="N10" s="4" t="s">
        <v>25</v>
      </c>
      <c r="O10" s="1" t="s">
        <v>29</v>
      </c>
      <c r="P10">
        <f>IF(O10="OFF",0,IF(VALUE(LEFT(O10,2))&lt;12,0,1))</f>
        <v>0</v>
      </c>
    </row>
    <row r="11" spans="1:96">
      <c r="A11" s="54" t="s">
        <v>37</v>
      </c>
      <c r="B11" s="1" t="s">
        <v>18</v>
      </c>
      <c r="C11" s="1" t="s">
        <v>18</v>
      </c>
      <c r="D11" s="1" t="s">
        <v>18</v>
      </c>
      <c r="E11" s="55" t="s">
        <v>31</v>
      </c>
      <c r="F11" s="5" t="s">
        <v>31</v>
      </c>
      <c r="G11" s="5" t="s">
        <v>31</v>
      </c>
      <c r="H11" s="5" t="s">
        <v>31</v>
      </c>
      <c r="I11" s="2" t="str">
        <f>_xlfn.TEXTJOIN(" - ",TRUE,
IF(B11="OFF","Mon",""),
IF(C11="OFF","Tue",""),
IF(D11="OFF","Wed",""),
IF(E11="OFF","Thu",""),
IF(F11="OFF","Fri",""),
IF(G11="OFF","Sat",""),
IF(H11="OFF","Sun",""))</f>
        <v>Mon - Tue - Wed</v>
      </c>
      <c r="J11" s="3">
        <v>0.82291666666666663</v>
      </c>
      <c r="K11" s="3">
        <v>0.91666666666666663</v>
      </c>
      <c r="L11" s="3">
        <v>0</v>
      </c>
      <c r="M11" s="3">
        <v>0.1041666666666667</v>
      </c>
      <c r="N11" s="32" t="s">
        <v>19</v>
      </c>
      <c r="O11" s="5" t="s">
        <v>31</v>
      </c>
      <c r="P11">
        <f>IF(O11="OFF",0,IF(VALUE(LEFT(O11,2))&lt;12,0,1))</f>
        <v>1</v>
      </c>
    </row>
    <row r="12" spans="1:96">
      <c r="A12" s="6" t="s">
        <v>38</v>
      </c>
      <c r="B12" s="1" t="s">
        <v>18</v>
      </c>
      <c r="C12" s="1" t="s">
        <v>39</v>
      </c>
      <c r="D12" s="1" t="s">
        <v>39</v>
      </c>
      <c r="E12" s="1" t="s">
        <v>39</v>
      </c>
      <c r="F12" s="1" t="s">
        <v>39</v>
      </c>
      <c r="G12" s="1" t="s">
        <v>18</v>
      </c>
      <c r="H12" s="1" t="s">
        <v>18</v>
      </c>
      <c r="I12" s="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">
        <v>0.29166666666666669</v>
      </c>
      <c r="K12" s="3">
        <v>0.375</v>
      </c>
      <c r="L12" s="3">
        <v>0.16666666666666671</v>
      </c>
      <c r="M12" s="3">
        <v>0.47916666666666669</v>
      </c>
      <c r="N12" s="32" t="s">
        <v>19</v>
      </c>
      <c r="O12" s="1" t="s">
        <v>39</v>
      </c>
      <c r="P12">
        <f>IF(O12="OFF",0,IF(VALUE(LEFT(O12,2))&lt;12,0,1))</f>
        <v>0</v>
      </c>
    </row>
    <row r="13" spans="1:96">
      <c r="A13" s="6" t="s">
        <v>40</v>
      </c>
      <c r="B13" s="1" t="s">
        <v>22</v>
      </c>
      <c r="C13" s="1" t="s">
        <v>18</v>
      </c>
      <c r="D13" s="1" t="s">
        <v>18</v>
      </c>
      <c r="E13" s="1" t="s">
        <v>18</v>
      </c>
      <c r="F13" s="1" t="s">
        <v>22</v>
      </c>
      <c r="G13" s="1" t="s">
        <v>22</v>
      </c>
      <c r="H13" s="1" t="s">
        <v>22</v>
      </c>
      <c r="I13" s="2" t="str">
        <f>_xlfn.TEXTJOIN(" - ",TRUE,
IF(B13="OFF","Mon",""),
IF(C13="OFF","Tue",""),
IF(D13="OFF","Wed",""),
IF(E13="OFF","Thu",""),
IF(F13="OFF","Fri",""),
IF(G13="OFF","Sat",""),
IF(H13="OFF","Sun",""))</f>
        <v>Tue - Wed - Thu</v>
      </c>
      <c r="J13" s="3">
        <v>0.73958333333333337</v>
      </c>
      <c r="K13" s="3">
        <v>0.80208333333333337</v>
      </c>
      <c r="L13" s="3">
        <v>0.96875</v>
      </c>
      <c r="M13" s="3">
        <v>0.86458333333333337</v>
      </c>
      <c r="N13" s="4" t="s">
        <v>25</v>
      </c>
      <c r="O13" s="1" t="s">
        <v>22</v>
      </c>
      <c r="P13">
        <f>IF(O13="OFF",0,IF(VALUE(LEFT(O13,2))&lt;12,0,1))</f>
        <v>1</v>
      </c>
    </row>
    <row r="14" spans="1:96">
      <c r="A14" s="6" t="s">
        <v>41</v>
      </c>
      <c r="B14" s="1" t="s">
        <v>29</v>
      </c>
      <c r="C14" s="1" t="s">
        <v>29</v>
      </c>
      <c r="D14" s="1" t="s">
        <v>18</v>
      </c>
      <c r="E14" s="1" t="s">
        <v>18</v>
      </c>
      <c r="F14" s="1" t="s">
        <v>18</v>
      </c>
      <c r="G14" s="1" t="s">
        <v>29</v>
      </c>
      <c r="H14" s="1" t="s">
        <v>29</v>
      </c>
      <c r="I14" s="2" t="str">
        <f>_xlfn.TEXTJOIN(" - ",TRUE,
IF(B14="OFF","Mon",""),
IF(C14="OFF","Tue",""),
IF(D14="OFF","Wed",""),
IF(E14="OFF","Thu",""),
IF(F14="OFF","Fri",""),
IF(G14="OFF","Sat",""),
IF(H14="OFF","Sun",""))</f>
        <v>Wed - Thu - Fri</v>
      </c>
      <c r="J14" s="3">
        <v>0.26041666666666669</v>
      </c>
      <c r="K14" s="3">
        <v>0.46875</v>
      </c>
      <c r="L14" s="3">
        <v>0.33333333333333331</v>
      </c>
      <c r="M14" s="3">
        <v>0.5625</v>
      </c>
      <c r="N14" s="4" t="s">
        <v>42</v>
      </c>
      <c r="O14" s="1" t="s">
        <v>29</v>
      </c>
      <c r="P14">
        <f>IF(O14="OFF",0,IF(VALUE(LEFT(O14,2))&lt;12,0,1))</f>
        <v>0</v>
      </c>
    </row>
    <row r="15" spans="1:96">
      <c r="A15" s="6" t="s">
        <v>43</v>
      </c>
      <c r="B15" s="1" t="s">
        <v>17</v>
      </c>
      <c r="C15" s="1" t="s">
        <v>18</v>
      </c>
      <c r="D15" s="1" t="s">
        <v>18</v>
      </c>
      <c r="E15" s="1" t="s">
        <v>18</v>
      </c>
      <c r="F15" s="1" t="s">
        <v>17</v>
      </c>
      <c r="G15" s="1" t="s">
        <v>17</v>
      </c>
      <c r="H15" s="1" t="s">
        <v>17</v>
      </c>
      <c r="I15" s="2" t="str">
        <f>_xlfn.TEXTJOIN(" - ",TRUE,
IF(B15="OFF","Mon",""),
IF(C15="OFF","Tue",""),
IF(D15="OFF","Wed",""),
IF(E15="OFF","Thu",""),
IF(F15="OFF","Fri",""),
IF(G15="OFF","Sat",""),
IF(H15="OFF","Sun",""))</f>
        <v>Tue - Wed - Thu</v>
      </c>
      <c r="J15" s="3">
        <v>7.2916666666666671E-2</v>
      </c>
      <c r="K15" s="3">
        <v>0.27083333333333331</v>
      </c>
      <c r="L15" s="3">
        <v>0.14583333333333334</v>
      </c>
      <c r="M15" s="3">
        <v>0.36458333333333331</v>
      </c>
      <c r="N15" s="32" t="s">
        <v>19</v>
      </c>
      <c r="O15" s="1" t="s">
        <v>17</v>
      </c>
      <c r="P15">
        <f>IF(O15="OFF",0,IF(VALUE(LEFT(O15,2))&lt;12,0,1))</f>
        <v>0</v>
      </c>
    </row>
    <row r="16" spans="1:96">
      <c r="A16" s="6" t="s">
        <v>44</v>
      </c>
      <c r="B16" s="1" t="s">
        <v>45</v>
      </c>
      <c r="C16" s="1" t="s">
        <v>18</v>
      </c>
      <c r="D16" s="1" t="s">
        <v>18</v>
      </c>
      <c r="E16" s="1" t="s">
        <v>45</v>
      </c>
      <c r="F16" s="1" t="s">
        <v>18</v>
      </c>
      <c r="G16" s="1" t="s">
        <v>45</v>
      </c>
      <c r="H16" s="1" t="s">
        <v>45</v>
      </c>
      <c r="I16" s="2" t="str">
        <f>_xlfn.TEXTJOIN(" - ",TRUE,
IF(B16="OFF","Mon",""),
IF(C16="OFF","Tue",""),
IF(D16="OFF","Wed",""),
IF(E16="OFF","Thu",""),
IF(F16="OFF","Fri",""),
IF(G16="OFF","Sat",""),
IF(H16="OFF","Sun",""))</f>
        <v>Tue - Wed - Fri</v>
      </c>
      <c r="J16" s="3">
        <v>0.44791666666666669</v>
      </c>
      <c r="K16" s="3">
        <v>0.51041666666666663</v>
      </c>
      <c r="L16" s="3">
        <v>0.32291666666666669</v>
      </c>
      <c r="M16" s="3">
        <v>0.63541666666666663</v>
      </c>
      <c r="N16" s="4" t="s">
        <v>46</v>
      </c>
      <c r="O16" s="1" t="s">
        <v>45</v>
      </c>
      <c r="P16">
        <f>IF(O16="OFF",0,IF(VALUE(LEFT(O16,2))&lt;12,0,1))</f>
        <v>0</v>
      </c>
    </row>
    <row r="17" spans="1:16">
      <c r="A17" s="6" t="s">
        <v>47</v>
      </c>
      <c r="B17" s="1" t="s">
        <v>27</v>
      </c>
      <c r="C17" s="1" t="s">
        <v>27</v>
      </c>
      <c r="D17" s="1" t="s">
        <v>27</v>
      </c>
      <c r="E17" s="1" t="s">
        <v>27</v>
      </c>
      <c r="F17" s="1" t="s">
        <v>18</v>
      </c>
      <c r="G17" s="1" t="s">
        <v>18</v>
      </c>
      <c r="H17" s="1" t="s">
        <v>18</v>
      </c>
      <c r="I17" s="2" t="str">
        <f>_xlfn.TEXTJOIN(" - ",TRUE,
IF(B17="OFF","Mon",""),
IF(C17="OFF","Tue",""),
IF(D17="OFF","Wed",""),
IF(E17="OFF","Thu",""),
IF(F17="OFF","Fri",""),
IF(G17="OFF","Sat",""),
IF(H17="OFF","Sun",""))</f>
        <v>Fri - Sat - Sun</v>
      </c>
      <c r="J17" s="3">
        <v>0.63541666666666663</v>
      </c>
      <c r="K17" s="3">
        <v>0.71875</v>
      </c>
      <c r="L17" s="3">
        <v>0.8125</v>
      </c>
      <c r="M17" s="3">
        <v>0.91666666666666663</v>
      </c>
      <c r="N17" s="4" t="s">
        <v>48</v>
      </c>
      <c r="O17" s="1" t="s">
        <v>27</v>
      </c>
      <c r="P17">
        <f>IF(O17="OFF",0,IF(VALUE(LEFT(O17,2))&lt;12,0,1))</f>
        <v>1</v>
      </c>
    </row>
    <row r="18" spans="1:16">
      <c r="A18" s="6" t="s">
        <v>49</v>
      </c>
      <c r="B18" s="1" t="s">
        <v>50</v>
      </c>
      <c r="C18" s="1" t="s">
        <v>50</v>
      </c>
      <c r="D18" s="1" t="s">
        <v>18</v>
      </c>
      <c r="E18" s="56" t="s">
        <v>50</v>
      </c>
      <c r="F18" s="1" t="s">
        <v>50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Wed - Sat - Sun</v>
      </c>
      <c r="J18" s="3">
        <v>0.53125</v>
      </c>
      <c r="K18" s="3">
        <v>0.64583333333333337</v>
      </c>
      <c r="L18" s="3">
        <v>0.73958333333333337</v>
      </c>
      <c r="M18" s="3">
        <v>0.84375</v>
      </c>
      <c r="N18" s="4" t="s">
        <v>46</v>
      </c>
      <c r="O18" s="1" t="s">
        <v>50</v>
      </c>
      <c r="P18">
        <f>IF(O18="OFF",0,IF(VALUE(LEFT(O18,2))&lt;12,0,1))</f>
        <v>0</v>
      </c>
    </row>
    <row r="19" spans="1:16">
      <c r="A19" s="6" t="s">
        <v>51</v>
      </c>
      <c r="B19" s="1" t="s">
        <v>52</v>
      </c>
      <c r="C19" s="1" t="s">
        <v>52</v>
      </c>
      <c r="D19" s="1" t="s">
        <v>52</v>
      </c>
      <c r="E19" s="1" t="s">
        <v>52</v>
      </c>
      <c r="F19" s="1" t="s">
        <v>18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Fri - Sat - Sun</v>
      </c>
      <c r="J19" s="3">
        <v>0.4375</v>
      </c>
      <c r="K19" s="3">
        <v>0.52083333333333337</v>
      </c>
      <c r="L19" s="3">
        <v>0.66666666666666663</v>
      </c>
      <c r="M19" s="3">
        <v>0.625</v>
      </c>
      <c r="N19" s="4" t="s">
        <v>46</v>
      </c>
      <c r="O19" s="1" t="s">
        <v>52</v>
      </c>
      <c r="P19">
        <f>IF(O19="OFF",0,IF(VALUE(LEFT(O19,2))&lt;12,0,1))</f>
        <v>0</v>
      </c>
    </row>
    <row r="20" spans="1:16">
      <c r="A20" s="6"/>
      <c r="B20" s="49"/>
      <c r="C20" s="49"/>
      <c r="D20" s="49"/>
      <c r="E20" s="49"/>
      <c r="F20" s="49"/>
      <c r="G20" s="49"/>
      <c r="H20" s="49"/>
      <c r="I20" s="50" t="str">
        <f>_xlfn.TEXTJOIN(" - ",TRUE,
IF(B20="OFF","Mon",""),
IF(C20="OFF","Tue",""),
IF(D20="OFF","Wed",""),
IF(E20="OFF","Thu",""),
IF(F20="OFF","Fri",""),
IF(G20="OFF","Sat",""),
IF(H20="OFF","Sun",""))</f>
        <v/>
      </c>
      <c r="J20" s="51"/>
      <c r="K20" s="51"/>
      <c r="L20" s="51"/>
      <c r="M20" s="51"/>
      <c r="N20" s="52"/>
      <c r="O20" s="49"/>
      <c r="P20" s="53"/>
    </row>
    <row r="21" spans="1:16">
      <c r="A21" s="6"/>
      <c r="B21" s="1"/>
      <c r="C21" s="1"/>
      <c r="D21" s="1"/>
      <c r="E21" s="1"/>
      <c r="F21" s="1"/>
      <c r="G21" s="1"/>
      <c r="H21" s="1"/>
      <c r="I21" s="2" t="str">
        <f>_xlfn.TEXTJOIN(" - ",TRUE,
IF(B21="OFF","Mon",""),
IF(C21="OFF","Tue",""),
IF(D21="OFF","Wed",""),
IF(E21="OFF","Thu",""),
IF(F21="OFF","Fri",""),
IF(G21="OFF","Sat",""),
IF(H21="OFF","Sun",""))</f>
        <v/>
      </c>
      <c r="J21" s="3"/>
      <c r="K21" s="3"/>
      <c r="L21" s="3"/>
      <c r="M21" s="3"/>
      <c r="N21" s="7"/>
      <c r="O21" s="1"/>
    </row>
    <row r="22" spans="1:16">
      <c r="A22" s="6"/>
      <c r="B22" s="1"/>
      <c r="C22" s="1"/>
      <c r="D22" s="1"/>
      <c r="E22" s="1"/>
      <c r="F22" s="1"/>
      <c r="G22" s="1"/>
      <c r="H22" s="1"/>
      <c r="I22" s="2" t="str">
        <f>_xlfn.TEXTJOIN(" - ",TRUE,
IF(B22="OFF","Mon",""),
IF(C22="OFF","Tue",""),
IF(D22="OFF","Wed",""),
IF(E22="OFF","Thu",""),
IF(F22="OFF","Fri",""),
IF(G22="OFF","Sat",""),
IF(H22="OFF","Sun",""))</f>
        <v/>
      </c>
      <c r="J22" s="3"/>
      <c r="K22" s="3"/>
      <c r="L22" s="3"/>
      <c r="M22" s="3"/>
      <c r="N22" s="4"/>
      <c r="O22" s="1"/>
    </row>
    <row r="23" spans="1:16">
      <c r="A23" s="6"/>
      <c r="B23" s="1"/>
      <c r="C23" s="1"/>
      <c r="D23" s="1"/>
      <c r="E23" s="1"/>
      <c r="F23" s="1"/>
      <c r="G23" s="1"/>
      <c r="H23" s="1"/>
      <c r="I23" s="2" t="str">
        <f>_xlfn.TEXTJOIN(" - ",TRUE,
IF(B23="OFF","Mon",""),
IF(C23="OFF","Tue",""),
IF(D23="OFF","Wed",""),
IF(E23="OFF","Thu",""),
IF(F23="OFF","Fri",""),
IF(G23="OFF","Sat",""),
IF(H23="OFF","Sun",""))</f>
        <v/>
      </c>
      <c r="J23" s="3"/>
      <c r="K23" s="3"/>
      <c r="L23" s="3"/>
      <c r="M23" s="3"/>
      <c r="N23" s="4"/>
      <c r="O23" s="1"/>
    </row>
    <row r="24" spans="1:16">
      <c r="A24" s="6"/>
      <c r="B24" s="1"/>
      <c r="C24" s="1"/>
      <c r="D24" s="1"/>
      <c r="E24" s="1"/>
      <c r="F24" s="1"/>
      <c r="G24" s="1"/>
      <c r="H24" s="1"/>
      <c r="I24" s="2" t="str">
        <f>_xlfn.TEXTJOIN(" - ",TRUE,
IF(B24="OFF","Mon",""),
IF(C24="OFF","Tue",""),
IF(D24="OFF","Wed",""),
IF(E24="OFF","Thu",""),
IF(F24="OFF","Fri",""),
IF(G24="OFF","Sat",""),
IF(H24="OFF","Sun",""))</f>
        <v/>
      </c>
      <c r="J24" s="3"/>
      <c r="K24" s="3"/>
      <c r="L24" s="3"/>
      <c r="M24" s="3"/>
      <c r="N24" s="4"/>
      <c r="O24" s="1"/>
    </row>
    <row r="25" spans="1:16">
      <c r="A25" s="6"/>
      <c r="B25" s="1"/>
      <c r="C25" s="1"/>
      <c r="D25" s="1"/>
      <c r="E25" s="1"/>
      <c r="F25" s="1"/>
      <c r="G25" s="1"/>
      <c r="H25" s="1"/>
      <c r="I25" s="2" t="str">
        <f>_xlfn.TEXTJOIN(" - ",TRUE,
IF(B25="OFF","Mon",""),
IF(C25="OFF","Tue",""),
IF(D25="OFF","Wed",""),
IF(E25="OFF","Thu",""),
IF(F25="OFF","Fri",""),
IF(G25="OFF","Sat",""),
IF(H25="OFF","Sun",""))</f>
        <v/>
      </c>
      <c r="J25" s="3"/>
      <c r="K25" s="3"/>
      <c r="L25" s="3"/>
      <c r="M25" s="3"/>
      <c r="N25" s="4"/>
      <c r="O25" s="1"/>
    </row>
    <row r="26" spans="1:16">
      <c r="A26" s="6"/>
      <c r="B26" s="1"/>
      <c r="C26" s="1"/>
      <c r="D26" s="1"/>
      <c r="E26" s="1"/>
      <c r="F26" s="1"/>
      <c r="G26" s="1"/>
      <c r="H26" s="1"/>
      <c r="I26" s="2" t="str">
        <f>_xlfn.TEXTJOIN(" - ",TRUE,
IF(B26="OFF","Mon",""),
IF(C26="OFF","Tue",""),
IF(D26="OFF","Wed",""),
IF(E26="OFF","Thu",""),
IF(F26="OFF","Fri",""),
IF(G26="OFF","Sat",""),
IF(H26="OFF","Sun",""))</f>
        <v/>
      </c>
      <c r="J26" s="3"/>
      <c r="K26" s="3"/>
      <c r="L26" s="3"/>
      <c r="M26" s="3"/>
      <c r="N26" s="4"/>
      <c r="O26" s="1"/>
    </row>
    <row r="27" spans="1:16">
      <c r="A27" s="6"/>
      <c r="B27" s="5"/>
      <c r="C27" s="5"/>
      <c r="D27" s="1"/>
      <c r="E27" s="5"/>
      <c r="F27" s="5"/>
      <c r="G27" s="1"/>
      <c r="H27" s="1"/>
      <c r="I27" s="2" t="str">
        <f>_xlfn.TEXTJOIN(" - ",TRUE,
IF(B27="OFF","Mon",""),
IF(C27="OFF","Tue",""),
IF(D27="OFF","Wed",""),
IF(E27="OFF","Thu",""),
IF(F27="OFF","Fri",""),
IF(G27="OFF","Sat",""),
IF(H27="OFF","Sun",""))</f>
        <v/>
      </c>
      <c r="J27" s="3"/>
      <c r="K27" s="3"/>
      <c r="L27" s="3"/>
      <c r="M27" s="3"/>
      <c r="N27" s="4"/>
      <c r="O27" s="5"/>
    </row>
    <row r="28" spans="1:16">
      <c r="A28" s="6"/>
      <c r="B28" s="1"/>
      <c r="C28" s="1"/>
      <c r="D28" s="1"/>
      <c r="E28" s="1"/>
      <c r="F28" s="1"/>
      <c r="G28" s="1"/>
      <c r="H28" s="1"/>
      <c r="I28" s="2" t="str">
        <f>_xlfn.TEXTJOIN(" - ",TRUE,
IF(B28="OFF","Mon",""),
IF(C28="OFF","Tue",""),
IF(D28="OFF","Wed",""),
IF(E28="OFF","Thu",""),
IF(F28="OFF","Fri",""),
IF(G28="OFF","Sat",""),
IF(H28="OFF","Sun",""))</f>
        <v/>
      </c>
      <c r="J28" s="3"/>
      <c r="K28" s="3"/>
      <c r="L28" s="3"/>
      <c r="M28" s="3"/>
      <c r="N28" s="4"/>
      <c r="O28" s="1"/>
    </row>
    <row r="29" spans="1:16">
      <c r="A29" s="6"/>
      <c r="B29" s="1"/>
      <c r="C29" s="1"/>
      <c r="D29" s="1"/>
      <c r="E29" s="1"/>
      <c r="F29" s="1"/>
      <c r="G29" s="1"/>
      <c r="H29" s="1"/>
      <c r="I29" s="2" t="str">
        <f>_xlfn.TEXTJOIN(" - ",TRUE,
IF(B29="OFF","Mon",""),
IF(C29="OFF","Tue",""),
IF(D29="OFF","Wed",""),
IF(E29="OFF","Thu",""),
IF(F29="OFF","Fri",""),
IF(G29="OFF","Sat",""),
IF(H29="OFF","Sun",""))</f>
        <v/>
      </c>
      <c r="J29" s="3"/>
      <c r="K29" s="3"/>
      <c r="L29" s="3"/>
      <c r="M29" s="3"/>
      <c r="N29" s="4"/>
      <c r="O29" s="1"/>
    </row>
    <row r="30" spans="1:16">
      <c r="A30" s="6"/>
      <c r="B30" s="1"/>
      <c r="C30" s="1"/>
      <c r="D30" s="1"/>
      <c r="E30" s="1"/>
      <c r="F30" s="1"/>
      <c r="G30" s="1"/>
      <c r="H30" s="1"/>
      <c r="I30" s="2" t="str">
        <f>_xlfn.TEXTJOIN(" - ",TRUE,
IF(B30="OFF","Mon",""),
IF(C30="OFF","Tue",""),
IF(D30="OFF","Wed",""),
IF(E30="OFF","Thu",""),
IF(F30="OFF","Fri",""),
IF(G30="OFF","Sat",""),
IF(H30="OFF","Sun",""))</f>
        <v/>
      </c>
      <c r="J30" s="3"/>
      <c r="K30" s="3"/>
      <c r="L30" s="3"/>
      <c r="M30" s="3"/>
      <c r="N30" s="4"/>
      <c r="O30" s="1"/>
    </row>
    <row r="31" spans="1:16">
      <c r="A31" s="6"/>
      <c r="B31" s="1"/>
      <c r="C31" s="1"/>
      <c r="D31" s="1"/>
      <c r="E31" s="1"/>
      <c r="F31" s="1"/>
      <c r="G31" s="1"/>
      <c r="H31" s="1"/>
      <c r="I31" s="2" t="str">
        <f>_xlfn.TEXTJOIN(" - ",TRUE,
IF(B31="OFF","Mon",""),
IF(C31="OFF","Tue",""),
IF(D31="OFF","Wed",""),
IF(E31="OFF","Thu",""),
IF(F31="OFF","Fri",""),
IF(G31="OFF","Sat",""),
IF(H31="OFF","Sun",""))</f>
        <v/>
      </c>
      <c r="J31" s="3"/>
      <c r="K31" s="3"/>
      <c r="L31" s="3"/>
      <c r="M31" s="3"/>
      <c r="N31" s="4"/>
      <c r="O31" s="1"/>
    </row>
    <row r="32" spans="1:16">
      <c r="A32" s="33"/>
      <c r="B32" s="1"/>
      <c r="C32" s="1"/>
      <c r="D32" s="1"/>
      <c r="E32" s="1"/>
      <c r="F32" s="1"/>
      <c r="G32" s="1"/>
      <c r="H32" s="1"/>
      <c r="I32" s="2" t="str">
        <f>_xlfn.TEXTJOIN(" - ",TRUE,
IF(B32="OFF","Mon",""),
IF(C32="OFF","Tue",""),
IF(D32="OFF","Wed",""),
IF(E32="OFF","Thu",""),
IF(F32="OFF","Fri",""),
IF(G32="OFF","Sat",""),
IF(H32="OFF","Sun",""))</f>
        <v/>
      </c>
      <c r="J32" s="3"/>
      <c r="K32" s="3"/>
      <c r="L32" s="3"/>
      <c r="M32" s="3"/>
      <c r="N32" s="4"/>
      <c r="O32" s="1"/>
    </row>
    <row r="33" spans="1:96" s="14" customFormat="1">
      <c r="A33" s="6"/>
      <c r="B33" s="1"/>
      <c r="C33" s="1"/>
      <c r="D33" s="1"/>
      <c r="E33" s="1"/>
      <c r="F33" s="1"/>
      <c r="G33" s="1"/>
      <c r="H33" s="1"/>
      <c r="I33" s="2" t="str">
        <f>_xlfn.TEXTJOIN(" - ",TRUE,
IF(B33="OFF","Mon",""),
IF(C33="OFF","Tue",""),
IF(D33="OFF","Wed",""),
IF(E33="OFF","Thu",""),
IF(F33="OFF","Fri",""),
IF(G33="OFF","Sat",""),
IF(H33="OFF","Sun",""))</f>
        <v/>
      </c>
      <c r="J33" s="3"/>
      <c r="K33" s="3"/>
      <c r="L33" s="3"/>
      <c r="M33" s="3"/>
      <c r="N33" s="4"/>
      <c r="O33" s="1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</row>
    <row r="34" spans="1:96">
      <c r="A34" s="6"/>
      <c r="B34" s="1"/>
      <c r="C34" s="1"/>
      <c r="D34" s="1"/>
      <c r="E34" s="1"/>
      <c r="F34" s="1"/>
      <c r="G34" s="1"/>
      <c r="H34" s="1"/>
      <c r="I34" s="2" t="str">
        <f>_xlfn.TEXTJOIN(" - ",TRUE,
IF(B34="OFF","Mon",""),
IF(C34="OFF","Tue",""),
IF(D34="OFF","Wed",""),
IF(E34="OFF","Thu",""),
IF(F34="OFF","Fri",""),
IF(G34="OFF","Sat",""),
IF(H34="OFF","Sun",""))</f>
        <v/>
      </c>
      <c r="J34" s="3"/>
      <c r="K34" s="3"/>
      <c r="L34" s="3"/>
      <c r="M34" s="3"/>
      <c r="N34" s="4"/>
      <c r="O34" s="1"/>
    </row>
    <row r="35" spans="1:96">
      <c r="A35" s="6"/>
      <c r="B35" s="1"/>
      <c r="C35" s="1"/>
      <c r="D35" s="1"/>
      <c r="E35" s="1"/>
      <c r="F35" s="1"/>
      <c r="G35" s="1"/>
      <c r="H35" s="1"/>
      <c r="I35" s="2" t="str">
        <f>_xlfn.TEXTJOIN(" - ",TRUE,
IF(B35="OFF","Mon",""),
IF(C35="OFF","Tue",""),
IF(D35="OFF","Wed",""),
IF(E35="OFF","Thu",""),
IF(F35="OFF","Fri",""),
IF(G35="OFF","Sat",""),
IF(H35="OFF","Sun",""))</f>
        <v/>
      </c>
      <c r="J35" s="3"/>
      <c r="K35" s="3"/>
      <c r="L35" s="3"/>
      <c r="M35" s="3"/>
      <c r="N35" s="4"/>
      <c r="O35" s="1"/>
    </row>
    <row r="36" spans="1:96">
      <c r="A36" s="6"/>
      <c r="B36" s="1"/>
      <c r="C36" s="1"/>
      <c r="D36" s="1"/>
      <c r="E36" s="1"/>
      <c r="F36" s="1"/>
      <c r="G36" s="1"/>
      <c r="H36" s="1"/>
      <c r="I36" s="2" t="str">
        <f>_xlfn.TEXTJOIN(" - ",TRUE,
IF(B36="OFF","Mon",""),
IF(C36="OFF","Tue",""),
IF(D36="OFF","Wed",""),
IF(E36="OFF","Thu",""),
IF(F36="OFF","Fri",""),
IF(G36="OFF","Sat",""),
IF(H36="OFF","Sun",""))</f>
        <v/>
      </c>
      <c r="J36" s="3"/>
      <c r="K36" s="3"/>
      <c r="L36" s="3"/>
      <c r="M36" s="3"/>
      <c r="N36" s="4"/>
      <c r="O36" s="1"/>
    </row>
    <row r="37" spans="1:96">
      <c r="A37" s="6"/>
      <c r="B37" s="1"/>
      <c r="C37" s="1"/>
      <c r="D37" s="1"/>
      <c r="E37" s="1"/>
      <c r="F37" s="1"/>
      <c r="G37" s="1"/>
      <c r="H37" s="1"/>
      <c r="I37" s="2" t="str">
        <f>_xlfn.TEXTJOIN(" - ",TRUE,
IF(B37="OFF","Mon",""),
IF(C37="OFF","Tue",""),
IF(D37="OFF","Wed",""),
IF(E37="OFF","Thu",""),
IF(F37="OFF","Fri",""),
IF(G37="OFF","Sat",""),
IF(H37="OFF","Sun",""))</f>
        <v/>
      </c>
      <c r="J37" s="3"/>
      <c r="K37" s="3"/>
      <c r="L37" s="3"/>
      <c r="M37" s="3"/>
      <c r="N37" s="4"/>
      <c r="O37" s="1"/>
    </row>
    <row r="38" spans="1:96">
      <c r="A38" s="6"/>
      <c r="B38" s="1"/>
      <c r="C38" s="1"/>
      <c r="D38" s="1"/>
      <c r="E38" s="1"/>
      <c r="F38" s="1"/>
      <c r="G38" s="1"/>
      <c r="H38" s="1"/>
      <c r="I38" s="2" t="str">
        <f>_xlfn.TEXTJOIN(" - ",TRUE,
IF(B38="OFF","Mon",""),
IF(C38="OFF","Tue",""),
IF(D38="OFF","Wed",""),
IF(E38="OFF","Thu",""),
IF(F38="OFF","Fri",""),
IF(G38="OFF","Sat",""),
IF(H38="OFF","Sun",""))</f>
        <v/>
      </c>
      <c r="J38" s="3"/>
      <c r="K38" s="3"/>
      <c r="L38" s="3"/>
      <c r="M38" s="3"/>
      <c r="N38" s="4"/>
      <c r="O38" s="1"/>
    </row>
    <row r="39" spans="1:96">
      <c r="A39" s="6"/>
      <c r="B39" s="1"/>
      <c r="C39" s="1"/>
      <c r="D39" s="1"/>
      <c r="E39" s="1"/>
      <c r="F39" s="1"/>
      <c r="G39" s="1"/>
      <c r="H39" s="1"/>
      <c r="I39" s="2" t="str">
        <f>_xlfn.TEXTJOIN(" - ",TRUE,
IF(B39="OFF","Mon",""),
IF(C39="OFF","Tue",""),
IF(D39="OFF","Wed",""),
IF(E39="OFF","Thu",""),
IF(F39="OFF","Fri",""),
IF(G39="OFF","Sat",""),
IF(H39="OFF","Sun",""))</f>
        <v/>
      </c>
      <c r="J39" s="3"/>
      <c r="K39" s="3"/>
      <c r="L39" s="3"/>
      <c r="M39" s="3"/>
      <c r="N39" s="4"/>
      <c r="O39" s="1"/>
    </row>
    <row r="40" spans="1:96">
      <c r="A40" s="6"/>
      <c r="B40" s="1"/>
      <c r="C40" s="1"/>
      <c r="D40" s="1"/>
      <c r="E40" s="1"/>
      <c r="F40" s="1"/>
      <c r="G40" s="1"/>
      <c r="H40" s="1"/>
      <c r="I40" s="2" t="str">
        <f>_xlfn.TEXTJOIN(" - ",TRUE,
IF(B40="OFF","Mon",""),
IF(C40="OFF","Tue",""),
IF(D40="OFF","Wed",""),
IF(E40="OFF","Thu",""),
IF(F40="OFF","Fri",""),
IF(G40="OFF","Sat",""),
IF(H40="OFF","Sun",""))</f>
        <v/>
      </c>
      <c r="J40" s="3"/>
      <c r="K40" s="3"/>
      <c r="L40" s="3"/>
      <c r="M40" s="3"/>
      <c r="N40" s="4"/>
      <c r="O40" s="1"/>
    </row>
    <row r="41" spans="1:96">
      <c r="A41" s="6"/>
      <c r="B41" s="1"/>
      <c r="C41" s="1"/>
      <c r="D41" s="1"/>
      <c r="E41" s="1"/>
      <c r="F41" s="1"/>
      <c r="G41" s="1"/>
      <c r="H41" s="1"/>
      <c r="I41" s="2" t="str">
        <f>_xlfn.TEXTJOIN(" - ",TRUE,
IF(B41="OFF","Mon",""),
IF(C41="OFF","Tue",""),
IF(D41="OFF","Wed",""),
IF(E41="OFF","Thu",""),
IF(F41="OFF","Fri",""),
IF(G41="OFF","Sat",""),
IF(H41="OFF","Sun",""))</f>
        <v/>
      </c>
      <c r="J41" s="3"/>
      <c r="K41" s="3"/>
      <c r="L41" s="3"/>
      <c r="M41" s="3"/>
      <c r="N41" s="4"/>
      <c r="O41" s="1"/>
    </row>
    <row r="42" spans="1:96">
      <c r="A42" s="6"/>
      <c r="B42" s="1"/>
      <c r="C42" s="1"/>
      <c r="D42" s="1"/>
      <c r="E42" s="1"/>
      <c r="F42" s="1"/>
      <c r="G42" s="1"/>
      <c r="H42" s="1"/>
      <c r="I42" s="2" t="str">
        <f>_xlfn.TEXTJOIN(" - ",TRUE,
IF(B42="OFF","Mon",""),
IF(C42="OFF","Tue",""),
IF(D42="OFF","Wed",""),
IF(E42="OFF","Thu",""),
IF(F42="OFF","Fri",""),
IF(G42="OFF","Sat",""),
IF(H42="OFF","Sun",""))</f>
        <v/>
      </c>
      <c r="J42" s="3"/>
      <c r="K42" s="3"/>
      <c r="L42" s="3"/>
      <c r="M42" s="3"/>
      <c r="N42" s="4"/>
      <c r="O42" s="1"/>
    </row>
    <row r="43" spans="1:96">
      <c r="A43" s="6"/>
      <c r="B43" s="1"/>
      <c r="C43" s="1"/>
      <c r="D43" s="1"/>
      <c r="E43" s="1"/>
      <c r="F43" s="1"/>
      <c r="G43" s="1"/>
      <c r="H43" s="1"/>
      <c r="I43" s="2" t="str">
        <f>_xlfn.TEXTJOIN(" - ",TRUE,
IF(B43="OFF","Mon",""),
IF(C43="OFF","Tue",""),
IF(D43="OFF","Wed",""),
IF(E43="OFF","Thu",""),
IF(F43="OFF","Fri",""),
IF(G43="OFF","Sat",""),
IF(H43="OFF","Sun",""))</f>
        <v/>
      </c>
      <c r="J43" s="3"/>
      <c r="K43" s="3"/>
      <c r="L43" s="3"/>
      <c r="M43" s="3"/>
      <c r="N43" s="4"/>
      <c r="O43" s="1"/>
    </row>
    <row r="44" spans="1:96">
      <c r="A44" s="6"/>
      <c r="B44" s="1"/>
      <c r="C44" s="1"/>
      <c r="D44" s="1"/>
      <c r="E44" s="1"/>
      <c r="F44" s="1"/>
      <c r="G44" s="1"/>
      <c r="H44" s="1"/>
      <c r="I44" s="2" t="str">
        <f>_xlfn.TEXTJOIN(" - ",TRUE,
IF(B44="OFF","Mon",""),
IF(C44="OFF","Tue",""),
IF(D44="OFF","Wed",""),
IF(E44="OFF","Thu",""),
IF(F44="OFF","Fri",""),
IF(G44="OFF","Sat",""),
IF(H44="OFF","Sun",""))</f>
        <v/>
      </c>
      <c r="J44" s="3"/>
      <c r="K44" s="3"/>
      <c r="L44" s="3"/>
      <c r="M44" s="3"/>
      <c r="N44" s="4"/>
      <c r="O44" s="1"/>
    </row>
    <row r="45" spans="1:96">
      <c r="A45" s="6"/>
      <c r="B45" s="1"/>
      <c r="C45" s="1"/>
      <c r="D45" s="1"/>
      <c r="E45" s="1"/>
      <c r="F45" s="1"/>
      <c r="G45" s="1"/>
      <c r="H45" s="1"/>
      <c r="I45" s="2" t="str">
        <f>_xlfn.TEXTJOIN(" - ",TRUE,
IF(B45="OFF","Mon",""),
IF(C45="OFF","Tue",""),
IF(D45="OFF","Wed",""),
IF(E45="OFF","Thu",""),
IF(F45="OFF","Fri",""),
IF(G45="OFF","Sat",""),
IF(H45="OFF","Sun",""))</f>
        <v/>
      </c>
      <c r="J45" s="3"/>
      <c r="K45" s="3"/>
      <c r="L45" s="3"/>
      <c r="M45" s="3"/>
      <c r="N45" s="4"/>
      <c r="O45" s="1"/>
    </row>
    <row r="46" spans="1:96">
      <c r="A46" s="6"/>
      <c r="B46" s="1"/>
      <c r="C46" s="1"/>
      <c r="D46" s="1"/>
      <c r="E46" s="1"/>
      <c r="F46" s="1"/>
      <c r="G46" s="1"/>
      <c r="H46" s="1"/>
      <c r="I46" s="2" t="str">
        <f>_xlfn.TEXTJOIN(" - ",TRUE,
IF(B46="OFF","Mon",""),
IF(C46="OFF","Tue",""),
IF(D46="OFF","Wed",""),
IF(E46="OFF","Thu",""),
IF(F46="OFF","Fri",""),
IF(G46="OFF","Sat",""),
IF(H46="OFF","Sun",""))</f>
        <v/>
      </c>
      <c r="J46" s="3"/>
      <c r="K46" s="3"/>
      <c r="L46" s="3"/>
      <c r="M46" s="3"/>
      <c r="N46" s="4"/>
      <c r="O46" s="1"/>
    </row>
    <row r="47" spans="1:96">
      <c r="A47" s="6"/>
      <c r="B47" s="1"/>
      <c r="C47" s="1"/>
      <c r="D47" s="1"/>
      <c r="E47" s="1"/>
      <c r="F47" s="1"/>
      <c r="G47" s="1"/>
      <c r="H47" s="1"/>
      <c r="I47" s="2" t="str">
        <f>_xlfn.TEXTJOIN(" - ",TRUE,
IF(B47="OFF","Mon",""),
IF(C47="OFF","Tue",""),
IF(D47="OFF","Wed",""),
IF(E47="OFF","Thu",""),
IF(F47="OFF","Fri",""),
IF(G47="OFF","Sat",""),
IF(H47="OFF","Sun",""))</f>
        <v/>
      </c>
      <c r="J47" s="3"/>
      <c r="K47" s="3"/>
      <c r="L47" s="3"/>
      <c r="M47" s="3"/>
      <c r="N47" s="4"/>
      <c r="O47" s="1"/>
    </row>
    <row r="48" spans="1:96">
      <c r="A48" s="6"/>
      <c r="B48" s="1"/>
      <c r="C48" s="1"/>
      <c r="D48" s="1"/>
      <c r="E48" s="1"/>
      <c r="F48" s="1"/>
      <c r="G48" s="1"/>
      <c r="H48" s="1"/>
      <c r="I48" s="2" t="str">
        <f>_xlfn.TEXTJOIN(" - ",TRUE,
IF(B48="OFF","Mon",""),
IF(C48="OFF","Tue",""),
IF(D48="OFF","Wed",""),
IF(E48="OFF","Thu",""),
IF(F48="OFF","Fri",""),
IF(G48="OFF","Sat",""),
IF(H48="OFF","Sun",""))</f>
        <v/>
      </c>
      <c r="J48" s="3"/>
      <c r="K48" s="3"/>
      <c r="L48" s="3"/>
      <c r="M48" s="3"/>
      <c r="N48" s="4"/>
      <c r="O48" s="1"/>
    </row>
    <row r="49" spans="1:15">
      <c r="A49" s="6"/>
      <c r="B49" s="1"/>
      <c r="C49" s="1"/>
      <c r="D49" s="1"/>
      <c r="E49" s="1"/>
      <c r="F49" s="1"/>
      <c r="G49" s="1"/>
      <c r="H49" s="1"/>
      <c r="I49" s="2" t="str">
        <f>_xlfn.TEXTJOIN(" - ",TRUE,
IF(B49="OFF","Mon",""),
IF(C49="OFF","Tue",""),
IF(D49="OFF","Wed",""),
IF(E49="OFF","Thu",""),
IF(F49="OFF","Fri",""),
IF(G49="OFF","Sat",""),
IF(H49="OFF","Sun",""))</f>
        <v/>
      </c>
      <c r="J49" s="3"/>
      <c r="K49" s="3"/>
      <c r="L49" s="3"/>
      <c r="M49" s="3"/>
      <c r="N49" s="4"/>
      <c r="O49" s="1"/>
    </row>
    <row r="50" spans="1:15">
      <c r="A50" s="6"/>
      <c r="B50" s="1"/>
      <c r="C50" s="1"/>
      <c r="D50" s="1"/>
      <c r="E50" s="1"/>
      <c r="F50" s="1"/>
      <c r="G50" s="1"/>
      <c r="H50" s="1"/>
      <c r="I50" s="2" t="str">
        <f>_xlfn.TEXTJOIN(" - ",TRUE,
IF(B50="OFF","Mon",""),
IF(C50="OFF","Tue",""),
IF(D50="OFF","Wed",""),
IF(E50="OFF","Thu",""),
IF(F50="OFF","Fri",""),
IF(G50="OFF","Sat",""),
IF(H50="OFF","Sun",""))</f>
        <v/>
      </c>
      <c r="J50" s="3"/>
      <c r="K50" s="3"/>
      <c r="L50" s="3"/>
      <c r="M50" s="3"/>
      <c r="N50" s="4"/>
      <c r="O50" s="1"/>
    </row>
    <row r="51" spans="1:15">
      <c r="A51" s="6"/>
      <c r="B51" s="1"/>
      <c r="C51" s="1"/>
      <c r="D51" s="1"/>
      <c r="E51" s="1"/>
      <c r="F51" s="1"/>
      <c r="G51" s="1"/>
      <c r="H51" s="1"/>
      <c r="I51" s="2" t="str">
        <f>_xlfn.TEXTJOIN(" - ",TRUE,
IF(B51="OFF","Mon",""),
IF(C51="OFF","Tue",""),
IF(D51="OFF","Wed",""),
IF(E51="OFF","Thu",""),
IF(F51="OFF","Fri",""),
IF(G51="OFF","Sat",""),
IF(H51="OFF","Sun",""))</f>
        <v/>
      </c>
      <c r="J51" s="3"/>
      <c r="K51" s="3"/>
      <c r="L51" s="3"/>
      <c r="M51" s="3"/>
      <c r="N51" s="4"/>
      <c r="O51" s="1"/>
    </row>
    <row r="52" spans="1:15">
      <c r="A52" s="6"/>
      <c r="B52" s="1"/>
      <c r="C52" s="1"/>
      <c r="D52" s="1"/>
      <c r="E52" s="1"/>
      <c r="F52" s="1"/>
      <c r="G52" s="1"/>
      <c r="H52" s="1"/>
      <c r="I52" s="2" t="str">
        <f>_xlfn.TEXTJOIN(" - ",TRUE,
IF(B52="OFF","Mon",""),
IF(C52="OFF","Tue",""),
IF(D52="OFF","Wed",""),
IF(E52="OFF","Thu",""),
IF(F52="OFF","Fri",""),
IF(G52="OFF","Sat",""),
IF(H52="OFF","Sun",""))</f>
        <v/>
      </c>
      <c r="J52" s="3"/>
      <c r="K52" s="3"/>
      <c r="L52" s="3"/>
      <c r="M52" s="3"/>
      <c r="N52" s="4"/>
      <c r="O52" s="1"/>
    </row>
    <row r="53" spans="1:15">
      <c r="A53" s="34"/>
      <c r="B53" s="1"/>
      <c r="C53" s="1"/>
      <c r="D53" s="1"/>
      <c r="E53" s="1"/>
      <c r="F53" s="1"/>
      <c r="G53" s="1"/>
      <c r="H53" s="1"/>
      <c r="I53" s="2" t="str">
        <f>_xlfn.TEXTJOIN(" - ",TRUE,
IF(B53="OFF","Mon",""),
IF(C53="OFF","Tue",""),
IF(D53="OFF","Wed",""),
IF(E53="OFF","Thu",""),
IF(F53="OFF","Fri",""),
IF(G53="OFF","Sat",""),
IF(H53="OFF","Sun",""))</f>
        <v/>
      </c>
      <c r="J53" s="3"/>
      <c r="K53" s="3"/>
      <c r="L53" s="3"/>
      <c r="M53" s="3"/>
      <c r="N53" s="4"/>
      <c r="O53" s="1"/>
    </row>
    <row r="54" spans="1:15">
      <c r="A54" s="35"/>
      <c r="B54" s="1"/>
      <c r="C54" s="1"/>
      <c r="D54" s="1"/>
      <c r="E54" s="1"/>
      <c r="F54" s="1"/>
      <c r="G54" s="1"/>
      <c r="H54" s="1"/>
      <c r="I54" s="2" t="str">
        <f>_xlfn.TEXTJOIN(" - ",TRUE,
IF(B54="OFF","Mon",""),
IF(C54="OFF","Tue",""),
IF(D54="OFF","Wed",""),
IF(E54="OFF","Thu",""),
IF(F54="OFF","Fri",""),
IF(G54="OFF","Sat",""),
IF(H54="OFF","Sun",""))</f>
        <v/>
      </c>
      <c r="J54" s="3"/>
      <c r="K54" s="3"/>
      <c r="L54" s="3"/>
      <c r="M54" s="3"/>
      <c r="N54" s="4"/>
      <c r="O54" s="1"/>
    </row>
    <row r="55" spans="1:15">
      <c r="A55" s="36"/>
      <c r="B55" s="1"/>
      <c r="C55" s="1"/>
      <c r="D55" s="1"/>
      <c r="E55" s="1"/>
      <c r="F55" s="1"/>
      <c r="G55" s="1"/>
      <c r="H55" s="1"/>
      <c r="I55" s="2" t="str">
        <f>_xlfn.TEXTJOIN(" - ",TRUE,
IF(B55="OFF","Mon",""),
IF(C55="OFF","Tue",""),
IF(D55="OFF","Wed",""),
IF(E55="OFF","Thu",""),
IF(F55="OFF","Fri",""),
IF(G55="OFF","Sat",""),
IF(H55="OFF","Sun",""))</f>
        <v/>
      </c>
      <c r="J55" s="3"/>
      <c r="K55" s="3"/>
      <c r="L55" s="3"/>
      <c r="M55" s="3"/>
      <c r="N55" s="4"/>
      <c r="O55" s="1"/>
    </row>
    <row r="56" spans="1:15">
      <c r="A56" s="6"/>
      <c r="B56" s="5"/>
      <c r="C56" s="5"/>
      <c r="D56" s="1"/>
      <c r="E56" s="1"/>
      <c r="F56" s="1"/>
      <c r="G56" s="5"/>
      <c r="H56" s="5"/>
      <c r="I56" s="2" t="str">
        <f>_xlfn.TEXTJOIN(" - ",TRUE,
IF(B56="OFF","Mon",""),
IF(C56="OFF","Tue",""),
IF(D56="OFF","Wed",""),
IF(E56="OFF","Thu",""),
IF(F56="OFF","Fri",""),
IF(G56="OFF","Sat",""),
IF(H56="OFF","Sun",""))</f>
        <v/>
      </c>
      <c r="J56" s="5"/>
      <c r="K56" s="5"/>
      <c r="L56" s="5"/>
      <c r="M56" s="5"/>
      <c r="N56" s="4"/>
      <c r="O56" s="5"/>
    </row>
    <row r="57" spans="1:15">
      <c r="A57" s="34"/>
      <c r="B57" s="1"/>
      <c r="C57" s="1"/>
      <c r="D57" s="1"/>
      <c r="E57" s="1"/>
      <c r="F57" s="1"/>
      <c r="G57" s="1"/>
      <c r="H57" s="1"/>
      <c r="I57" s="2" t="str">
        <f>_xlfn.TEXTJOIN(" - ",TRUE,
IF(B57="OFF","Mon",""),
IF(C57="OFF","Tue",""),
IF(D57="OFF","Wed",""),
IF(E57="OFF","Thu",""),
IF(F57="OFF","Fri",""),
IF(G57="OFF","Sat",""),
IF(H57="OFF","Sun",""))</f>
        <v/>
      </c>
      <c r="J57" s="3"/>
      <c r="K57" s="3"/>
      <c r="L57" s="3"/>
      <c r="M57" s="3"/>
      <c r="N57" s="4"/>
      <c r="O57" s="1"/>
    </row>
    <row r="58" spans="1:15" ht="15" customHeight="1">
      <c r="A58" s="35"/>
      <c r="B58" s="1"/>
      <c r="C58" s="1"/>
      <c r="D58" s="1"/>
      <c r="E58" s="1"/>
      <c r="F58" s="1"/>
      <c r="G58" s="1"/>
      <c r="H58" s="1"/>
      <c r="I58" s="2" t="str">
        <f>_xlfn.TEXTJOIN(" - ",TRUE,
IF(B58="OFF","Mon",""),
IF(C58="OFF","Tue",""),
IF(D58="OFF","Wed",""),
IF(E58="OFF","Thu",""),
IF(F58="OFF","Fri",""),
IF(G58="OFF","Sat",""),
IF(H58="OFF","Sun",""))</f>
        <v/>
      </c>
      <c r="J58" s="3"/>
      <c r="K58" s="3"/>
      <c r="L58" s="3"/>
      <c r="M58" s="3"/>
      <c r="N58" s="4"/>
      <c r="O58" s="1"/>
    </row>
    <row r="59" spans="1:15">
      <c r="A59" s="17"/>
      <c r="B59" s="1"/>
      <c r="C59" s="1"/>
      <c r="D59" s="1"/>
      <c r="E59" s="1"/>
      <c r="F59" s="1"/>
      <c r="G59" s="1"/>
      <c r="H59" s="1"/>
      <c r="I59" s="24" t="str">
        <f>_xlfn.TEXTJOIN(" - ",TRUE,
IF(B59="OFF","Mon",""),
IF(C59="OFF","Tue",""),
IF(D59="OFF","Wed",""),
IF(E59="OFF","Thu",""),
IF(F59="OFF","Fri",""),
IF(G59="OFF","Sat",""),
IF(H59="OFF","Sun",""))</f>
        <v/>
      </c>
      <c r="J59" s="3"/>
      <c r="K59" s="3"/>
      <c r="L59" s="3"/>
      <c r="M59" s="3"/>
      <c r="N59" s="4"/>
      <c r="O59" s="1"/>
    </row>
    <row r="60" spans="1:15">
      <c r="A60" s="35"/>
      <c r="B60" s="1"/>
      <c r="C60" s="1"/>
      <c r="D60" s="1"/>
      <c r="E60" s="1"/>
      <c r="F60" s="1"/>
      <c r="G60" s="1"/>
      <c r="H60" s="1"/>
      <c r="I60" s="2" t="str">
        <f>_xlfn.TEXTJOIN(" - ",TRUE,
IF(B60="OFF","Mon",""),
IF(C60="OFF","Tue",""),
IF(D60="OFF","Wed",""),
IF(E60="OFF","Thu",""),
IF(F60="OFF","Fri",""),
IF(G60="OFF","Sat",""),
IF(H60="OFF","Sun",""))</f>
        <v/>
      </c>
      <c r="J60" s="3"/>
      <c r="K60" s="3"/>
      <c r="L60" s="3"/>
      <c r="M60" s="3"/>
      <c r="N60" s="4"/>
      <c r="O60" s="1"/>
    </row>
    <row r="61" spans="1:15">
      <c r="A61" s="35"/>
      <c r="B61" s="1"/>
      <c r="C61" s="1"/>
      <c r="D61" s="1"/>
      <c r="E61" s="1"/>
      <c r="F61" s="1"/>
      <c r="G61" s="1"/>
      <c r="H61" s="1"/>
      <c r="I61" s="2" t="str">
        <f>_xlfn.TEXTJOIN(" - ",TRUE,
IF(B61="OFF","Mon",""),
IF(C61="OFF","Tue",""),
IF(D61="OFF","Wed",""),
IF(E61="OFF","Thu",""),
IF(F61="OFF","Fri",""),
IF(G61="OFF","Sat",""),
IF(H61="OFF","Sun",""))</f>
        <v/>
      </c>
      <c r="J61" s="3"/>
      <c r="K61" s="3"/>
      <c r="L61" s="3"/>
      <c r="M61" s="3"/>
      <c r="N61" s="4"/>
      <c r="O61" s="1"/>
    </row>
    <row r="62" spans="1:15">
      <c r="A62" s="35"/>
      <c r="B62" s="1"/>
      <c r="C62" s="1"/>
      <c r="D62" s="1"/>
      <c r="E62" s="1"/>
      <c r="F62" s="1"/>
      <c r="G62" s="1"/>
      <c r="H62" s="1"/>
      <c r="I62" s="2" t="str">
        <f>_xlfn.TEXTJOIN(" - ",TRUE,
IF(B62="OFF","Mon",""),
IF(C62="OFF","Tue",""),
IF(D62="OFF","Wed",""),
IF(E62="OFF","Thu",""),
IF(F62="OFF","Fri",""),
IF(G62="OFF","Sat",""),
IF(H62="OFF","Sun",""))</f>
        <v/>
      </c>
      <c r="J62" s="3"/>
      <c r="K62" s="3"/>
      <c r="L62" s="3"/>
      <c r="M62" s="3"/>
      <c r="N62" s="4"/>
      <c r="O62" s="1"/>
    </row>
    <row r="63" spans="1:15">
      <c r="A63" s="35"/>
      <c r="B63" s="1"/>
      <c r="C63" s="1"/>
      <c r="D63" s="1"/>
      <c r="E63" s="1"/>
      <c r="F63" s="1"/>
      <c r="G63" s="1"/>
      <c r="H63" s="1"/>
      <c r="I63" s="2" t="str">
        <f>_xlfn.TEXTJOIN(" - ",TRUE,
IF(B63="OFF","Mon",""),
IF(C63="OFF","Tue",""),
IF(D63="OFF","Wed",""),
IF(E63="OFF","Thu",""),
IF(F63="OFF","Fri",""),
IF(G63="OFF","Sat",""),
IF(H63="OFF","Sun",""))</f>
        <v/>
      </c>
      <c r="J63" s="3"/>
      <c r="K63" s="3"/>
      <c r="L63" s="3"/>
      <c r="M63" s="3"/>
      <c r="N63" s="4"/>
      <c r="O63" s="1"/>
    </row>
    <row r="64" spans="1:15">
      <c r="A64" s="34"/>
      <c r="B64" s="40"/>
      <c r="C64" s="40"/>
      <c r="D64" s="40"/>
      <c r="E64" s="40"/>
      <c r="F64" s="40"/>
      <c r="G64" s="40"/>
      <c r="H64" s="40"/>
      <c r="I64" s="40" t="str">
        <f>_xlfn.TEXTJOIN(" - ",TRUE,
IF(B64="OFF","Mon",""),
IF(C64="OFF","Tue",""),
IF(D64="OFF","Wed",""),
IF(E64="OFF","Thu",""),
IF(F64="OFF","Fri",""),
IF(G64="OFF","Sat",""),
IF(H64="OFF","Sun",""))</f>
        <v/>
      </c>
      <c r="J64" s="41"/>
      <c r="K64" s="41"/>
      <c r="L64" s="41"/>
      <c r="M64" s="41"/>
      <c r="N64" s="42"/>
      <c r="O64" s="40"/>
    </row>
    <row r="65"/>
    <row r="66"/>
    <row r="67"/>
    <row r="68"/>
  </sheetData>
  <phoneticPr fontId="8" type="noConversion"/>
  <conditionalFormatting sqref="A12:A57 A2:A10 O2:O64 B18:D18 F18:I18 B2:I17 B19:I64">
    <cfRule type="cellIs" dxfId="49" priority="52" operator="equal">
      <formula>"OFF"</formula>
    </cfRule>
  </conditionalFormatting>
  <conditionalFormatting sqref="A64:I64">
    <cfRule type="cellIs" dxfId="48" priority="2" operator="equal">
      <formula>"OFF"</formula>
    </cfRule>
  </conditionalFormatting>
  <conditionalFormatting sqref="I53:I54">
    <cfRule type="cellIs" dxfId="47" priority="40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zoomScale="85" zoomScaleNormal="85" workbookViewId="0">
      <selection activeCell="S11" sqref="S11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20.42578125" bestFit="1" customWidth="1"/>
    <col min="15" max="15" width="13.28515625" bestFit="1" customWidth="1"/>
    <col min="16" max="16" width="10.140625" bestFit="1" customWidth="1"/>
  </cols>
  <sheetData>
    <row r="1" spans="1:16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53</v>
      </c>
      <c r="P1" s="43" t="s">
        <v>54</v>
      </c>
    </row>
    <row r="2" spans="1:16">
      <c r="A2" s="44" t="str">
        <f>Table2[[#This Row],[Name]]</f>
        <v>April Cinco</v>
      </c>
      <c r="B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" s="44" t="str">
        <f>_xlfn.TEXTJOIN(" - ",TRUE,
IF(B2="OFF","Mon",""),
IF(C2="OFF","Tue",""),
IF(D2="OFF","Wed",""),
IF(E2="OFF","Thu",""),
IF(F2="OFF","Fri",""),
IF(G2="OFF","Sat",""),
IF(H2="OFF","Sun",""))</f>
        <v>Fri - Sat - Sun</v>
      </c>
      <c r="J2" s="45">
        <f>MOD(Table2[[#This Row],[Break 1]]+TIME(12,0,0),1)</f>
        <v>0.6875</v>
      </c>
      <c r="K2" s="45">
        <f>MOD(Table2[[#This Row],[Break 2]]+TIME(12,0,0),1)</f>
        <v>0.78125</v>
      </c>
      <c r="L2" s="45">
        <f>MOD(Table2[[#This Row],[Lunch]]+TIME(12,0,0),1)</f>
        <v>0.58333333333333337</v>
      </c>
      <c r="M2" s="45">
        <f>MOD(Table2[[#This Row],[Break 3]]+TIME(12,0,0),1)</f>
        <v>0.875</v>
      </c>
      <c r="N2" s="44" t="str">
        <f>Table2[[#This Row],[Supervisor]]</f>
        <v>Christopher Borromeo</v>
      </c>
      <c r="O2" s="44" t="s">
        <v>34</v>
      </c>
      <c r="P2" s="44">
        <f>IF(TIMEVALUE(LEFT(O2,FIND("-",O2)-1))&gt;=12/24,0,1)</f>
        <v>0</v>
      </c>
    </row>
    <row r="3" spans="1:16">
      <c r="A3" s="44" t="str">
        <f>Table2[[#This Row],[Name]]</f>
        <v>Asleth Montemayor</v>
      </c>
      <c r="B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03:00 - 14:00</v>
      </c>
      <c r="E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03:00 - 14:00</v>
      </c>
      <c r="F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03:00 - 14:00</v>
      </c>
      <c r="G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03:00 - 14:00</v>
      </c>
      <c r="H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44" t="str">
        <f t="shared" ref="I3:I63" si="0">_xlfn.TEXTJOIN(" - ",TRUE,
IF(B3="OFF","Mon",""),
IF(C3="OFF","Tue",""),
IF(D3="OFF","Wed",""),
IF(E3="OFF","Thu",""),
IF(F3="OFF","Fri",""),
IF(G3="OFF","Sat",""),
IF(H3="OFF","Sun",""))</f>
        <v>Mon - Tue - Sun</v>
      </c>
      <c r="J3" s="45">
        <f>MOD(Table2[[#This Row],[Break 1]]+TIME(12,0,0),1)</f>
        <v>0.22916666666666652</v>
      </c>
      <c r="K3" s="45">
        <f>MOD(Table2[[#This Row],[Break 2]]+TIME(12,0,0),1)</f>
        <v>0.29166666666666652</v>
      </c>
      <c r="L3" s="45">
        <f>MOD(Table2[[#This Row],[Lunch]]+TIME(12,0,0),1)</f>
        <v>0.39583333333333348</v>
      </c>
      <c r="M3" s="45">
        <f>MOD(Table2[[#This Row],[Break 3]]+TIME(12,0,0),1)</f>
        <v>0.52083333333333337</v>
      </c>
      <c r="N3" s="44" t="str">
        <f>Table2[[#This Row],[Supervisor]]</f>
        <v>Christopher Borromeo</v>
      </c>
      <c r="O3" s="44" t="s">
        <v>55</v>
      </c>
      <c r="P3" s="44">
        <f t="shared" ref="P3:P67" si="1">IF(TIMEVALUE(LEFT(O3,FIND("-",O3)-1))&gt;=12/24,0,1)</f>
        <v>1</v>
      </c>
    </row>
    <row r="4" spans="1:16">
      <c r="A4" s="44" t="str">
        <f>Table2[[#This Row],[Name]]</f>
        <v>Brenda Lyn Degracia</v>
      </c>
      <c r="B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44" t="str">
        <f t="shared" si="0"/>
        <v>Fri - Sat - Sun</v>
      </c>
      <c r="J4" s="45">
        <f>MOD(Table2[[#This Row],[Break 1]]+TIME(12,0,0),1)</f>
        <v>0.91666666666666674</v>
      </c>
      <c r="K4" s="45">
        <f>MOD(Table2[[#This Row],[Break 2]]+TIME(12,0,0),1)</f>
        <v>0</v>
      </c>
      <c r="L4" s="45">
        <f>MOD(Table2[[#This Row],[Lunch]]+TIME(12,0,0),1)</f>
        <v>0.20833333333333348</v>
      </c>
      <c r="M4" s="45">
        <f>MOD(Table2[[#This Row],[Break 3]]+TIME(12,0,0),1)</f>
        <v>8.3333333333333481E-2</v>
      </c>
      <c r="N4" s="44" t="str">
        <f>Table2[[#This Row],[Supervisor]]</f>
        <v>Michael Dominguez</v>
      </c>
      <c r="O4" s="44" t="s">
        <v>56</v>
      </c>
      <c r="P4" s="44">
        <f t="shared" si="1"/>
        <v>0</v>
      </c>
    </row>
    <row r="5" spans="1:16">
      <c r="A5" s="44" t="str">
        <f>Table2[[#This Row],[Name]]</f>
        <v>Contessa Cirujales</v>
      </c>
      <c r="B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5" s="44" t="str">
        <f t="shared" ref="I5:I36" si="2">_xlfn.TEXTJOIN(" - ",TRUE,
IF(B5="OFF","Mon",""),
IF(C5="OFF","Tue",""),
IF(D5="OFF","Wed",""),
IF(E5="OFF","Thu",""),
IF(F5="OFF","Fri",""),
IF(G5="OFF","Sat",""),
IF(H5="OFF","Sun",""))</f>
        <v>Thu - Fri - Sat</v>
      </c>
      <c r="J5" s="45">
        <f>MOD(Table2[[#This Row],[Break 1]]+TIME(12,0,0),1)</f>
        <v>0.11458333333333348</v>
      </c>
      <c r="K5" s="45">
        <f>MOD(Table2[[#This Row],[Break 2]]+TIME(12,0,0),1)</f>
        <v>0.19791666666666652</v>
      </c>
      <c r="L5" s="45">
        <f>MOD(Table2[[#This Row],[Lunch]]+TIME(12,0,0),1)</f>
        <v>0.27083333333333348</v>
      </c>
      <c r="M5" s="45">
        <f>MOD(Table2[[#This Row],[Break 3]]+TIME(12,0,0),1)</f>
        <v>0.39583333333333348</v>
      </c>
      <c r="N5" s="44" t="str">
        <f>Table2[[#This Row],[Supervisor]]</f>
        <v>Christopher Borromeo</v>
      </c>
      <c r="O5" s="44" t="s">
        <v>20</v>
      </c>
      <c r="P5" s="44">
        <f t="shared" si="1"/>
        <v>1</v>
      </c>
    </row>
    <row r="6" spans="1:16">
      <c r="A6" s="44" t="str">
        <f>Table2[[#This Row],[Name]]</f>
        <v>Janice Martirez</v>
      </c>
      <c r="B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16:00 - 03:00</v>
      </c>
      <c r="H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" s="44" t="str">
        <f t="shared" si="2"/>
        <v>Mon - Tue - Sun</v>
      </c>
      <c r="J6" s="45">
        <f>MOD(Table2[[#This Row],[Break 1]]+TIME(12,0,0),1)</f>
        <v>0.88541666666666674</v>
      </c>
      <c r="K6" s="45">
        <f>MOD(Table2[[#This Row],[Break 2]]+TIME(12,0,0),1)</f>
        <v>0.98958333333333326</v>
      </c>
      <c r="L6" s="45">
        <f>MOD(Table2[[#This Row],[Lunch]]+TIME(12,0,0),1)</f>
        <v>0.75</v>
      </c>
      <c r="M6" s="45">
        <f>MOD(Table2[[#This Row],[Break 3]]+TIME(12,0,0),1)</f>
        <v>7.2916666666666519E-2</v>
      </c>
      <c r="N6" s="44" t="str">
        <f>Table2[[#This Row],[Supervisor]]</f>
        <v>Christopher Borromeo</v>
      </c>
      <c r="O6" s="44" t="s">
        <v>57</v>
      </c>
      <c r="P6" s="44">
        <f t="shared" si="1"/>
        <v>0</v>
      </c>
    </row>
    <row r="7" spans="1:16">
      <c r="A7" s="44" t="str">
        <f>Table2[[#This Row],[Name]]</f>
        <v>Jarrah Jane De Castro</v>
      </c>
      <c r="B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44" t="str">
        <f t="shared" si="2"/>
        <v>Mon - Sat - Sun</v>
      </c>
      <c r="J7" s="45">
        <f>MOD(Table2[[#This Row],[Break 1]]+TIME(12,0,0),1)</f>
        <v>0.29166666666666652</v>
      </c>
      <c r="K7" s="45">
        <f>MOD(Table2[[#This Row],[Break 2]]+TIME(12,0,0),1)</f>
        <v>3.125E-2</v>
      </c>
      <c r="L7" s="45">
        <f>MOD(Table2[[#This Row],[Lunch]]+TIME(12,0,0),1)</f>
        <v>0.42708333333333348</v>
      </c>
      <c r="M7" s="45">
        <f>MOD(Table2[[#This Row],[Break 3]]+TIME(12,0,0),1)</f>
        <v>0.61458333333333326</v>
      </c>
      <c r="N7" s="44" t="str">
        <f>Table2[[#This Row],[Supervisor]]</f>
        <v>Christopher Borromeo</v>
      </c>
      <c r="O7" s="44" t="s">
        <v>58</v>
      </c>
      <c r="P7" s="44">
        <f t="shared" si="1"/>
        <v>1</v>
      </c>
    </row>
    <row r="8" spans="1:16">
      <c r="A8" s="44" t="str">
        <f>Table2[[#This Row],[Name]]</f>
        <v>Jessica Mary Acuna</v>
      </c>
      <c r="B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44" t="str">
        <f t="shared" si="2"/>
        <v>Fri - Sat - Sun</v>
      </c>
      <c r="J8" s="45">
        <f>MOD(Table2[[#This Row],[Break 1]]+TIME(12,0,0),1)</f>
        <v>0.3125</v>
      </c>
      <c r="K8" s="45">
        <f>MOD(Table2[[#This Row],[Break 2]]+TIME(12,0,0),1)</f>
        <v>0.90625</v>
      </c>
      <c r="L8" s="45">
        <f>MOD(Table2[[#This Row],[Lunch]]+TIME(12,0,0),1)</f>
        <v>0.54166666666666663</v>
      </c>
      <c r="M8" s="45">
        <f>MOD(Table2[[#This Row],[Break 3]]+TIME(12,0,0),1)</f>
        <v>0.63541666666666674</v>
      </c>
      <c r="N8" s="44" t="str">
        <f>Table2[[#This Row],[Supervisor]]</f>
        <v>Christopher Borromeo</v>
      </c>
      <c r="O8" s="44" t="s">
        <v>58</v>
      </c>
      <c r="P8" s="44">
        <f t="shared" si="1"/>
        <v>1</v>
      </c>
    </row>
    <row r="9" spans="1:16">
      <c r="A9" s="44" t="str">
        <f>Table2[[#This Row],[Name]]</f>
        <v>Jewel Lei Sara</v>
      </c>
      <c r="B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9" s="44" t="str">
        <f t="shared" si="2"/>
        <v>Mon - Tue - Wed</v>
      </c>
      <c r="J9" s="45">
        <f>MOD(Table2[[#This Row],[Break 1]]+TIME(12,0,0),1)</f>
        <v>9.375E-2</v>
      </c>
      <c r="K9" s="45">
        <f>MOD(Table2[[#This Row],[Break 2]]+TIME(12,0,0),1)</f>
        <v>0.1875</v>
      </c>
      <c r="L9" s="45">
        <f>MOD(Table2[[#This Row],[Lunch]]+TIME(12,0,0),1)</f>
        <v>0.28125</v>
      </c>
      <c r="M9" s="45">
        <f>MOD(Table2[[#This Row],[Break 3]]+TIME(12,0,0),1)</f>
        <v>0.39583333333333348</v>
      </c>
      <c r="N9" s="44" t="str">
        <f>Table2[[#This Row],[Supervisor]]</f>
        <v>Christopher Rodas</v>
      </c>
      <c r="O9" s="44" t="s">
        <v>17</v>
      </c>
      <c r="P9" s="44">
        <f t="shared" si="1"/>
        <v>1</v>
      </c>
    </row>
    <row r="10" spans="1:16">
      <c r="A10" s="44" t="str">
        <f>Table2[[#This Row],[Name]]</f>
        <v>Jhon Lloyd Camero</v>
      </c>
      <c r="B1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16:00 - 03:00</v>
      </c>
      <c r="C1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16:00 - 03:00</v>
      </c>
      <c r="I10" s="44" t="str">
        <f t="shared" si="2"/>
        <v>Thu - Fri - Sat</v>
      </c>
      <c r="J10" s="45">
        <f>MOD(Table2[[#This Row],[Break 1]]+TIME(12,0,0),1)</f>
        <v>0.72916666666666674</v>
      </c>
      <c r="K10" s="45">
        <f>MOD(Table2[[#This Row],[Break 2]]+TIME(12,0,0),1)</f>
        <v>0.9375</v>
      </c>
      <c r="L10" s="45">
        <f>MOD(Table2[[#This Row],[Lunch]]+TIME(12,0,0),1)</f>
        <v>0.79166666666666674</v>
      </c>
      <c r="M10" s="45">
        <f>MOD(Table2[[#This Row],[Break 3]]+TIME(12,0,0),1)</f>
        <v>3.125E-2</v>
      </c>
      <c r="N10" s="44" t="str">
        <f>Table2[[#This Row],[Supervisor]]</f>
        <v>Michael Dominguez</v>
      </c>
      <c r="O10" s="44" t="s">
        <v>57</v>
      </c>
      <c r="P10" s="44">
        <f t="shared" si="1"/>
        <v>0</v>
      </c>
    </row>
    <row r="11" spans="1:16">
      <c r="A11" s="44" t="str">
        <f>Table2[[#This Row],[Name]]</f>
        <v>Jose Saldy Rubio</v>
      </c>
      <c r="B1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1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1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1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11" s="44" t="str">
        <f t="shared" si="2"/>
        <v>Tue - Wed - Thu</v>
      </c>
      <c r="J11" s="45">
        <f>MOD(Table2[[#This Row],[Break 1]]+TIME(12,0,0),1)</f>
        <v>0.32291666666666652</v>
      </c>
      <c r="K11" s="45">
        <f>MOD(Table2[[#This Row],[Break 2]]+TIME(12,0,0),1)</f>
        <v>0.41666666666666652</v>
      </c>
      <c r="L11" s="45">
        <f>MOD(Table2[[#This Row],[Lunch]]+TIME(12,0,0),1)</f>
        <v>0.5</v>
      </c>
      <c r="M11" s="45">
        <f>MOD(Table2[[#This Row],[Break 3]]+TIME(12,0,0),1)</f>
        <v>0.60416666666666674</v>
      </c>
      <c r="N11" s="44" t="str">
        <f>Table2[[#This Row],[Supervisor]]</f>
        <v>Christopher Borromeo</v>
      </c>
      <c r="O11" s="44" t="s">
        <v>58</v>
      </c>
      <c r="P11" s="44">
        <f t="shared" si="1"/>
        <v>1</v>
      </c>
    </row>
    <row r="12" spans="1:16">
      <c r="A12" s="44" t="str">
        <f>Table2[[#This Row],[Name]]</f>
        <v>Jubell Matanguihan</v>
      </c>
      <c r="B1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1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1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14:00 - 01:00</v>
      </c>
      <c r="F1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14:00 - 01:00</v>
      </c>
      <c r="G1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44" t="str">
        <f t="shared" si="2"/>
        <v>Mon - Sat - Sun</v>
      </c>
      <c r="J12" s="45">
        <f>MOD(Table2[[#This Row],[Break 1]]+TIME(12,0,0),1)</f>
        <v>0.79166666666666674</v>
      </c>
      <c r="K12" s="45">
        <f>MOD(Table2[[#This Row],[Break 2]]+TIME(12,0,0),1)</f>
        <v>0.875</v>
      </c>
      <c r="L12" s="45">
        <f>MOD(Table2[[#This Row],[Lunch]]+TIME(12,0,0),1)</f>
        <v>0.66666666666666674</v>
      </c>
      <c r="M12" s="45">
        <f>MOD(Table2[[#This Row],[Break 3]]+TIME(12,0,0),1)</f>
        <v>0.97916666666666674</v>
      </c>
      <c r="N12" s="44" t="str">
        <f>Table2[[#This Row],[Supervisor]]</f>
        <v>Christopher Borromeo</v>
      </c>
      <c r="O12" s="44" t="s">
        <v>59</v>
      </c>
      <c r="P12" s="44">
        <f t="shared" si="1"/>
        <v>0</v>
      </c>
    </row>
    <row r="13" spans="1:16">
      <c r="A13" s="44" t="str">
        <f>Table2[[#This Row],[Name]]</f>
        <v>Lyka Mae Basco</v>
      </c>
      <c r="B1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03:00 - 14:00</v>
      </c>
      <c r="C1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03:00 - 14:00</v>
      </c>
      <c r="D1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03:00 - 14:00</v>
      </c>
      <c r="H1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03:00 - 14:00</v>
      </c>
      <c r="I13" s="44" t="str">
        <f t="shared" si="2"/>
        <v>Wed - Thu - Fri</v>
      </c>
      <c r="J13" s="45">
        <f>MOD(Table2[[#This Row],[Break 1]]+TIME(12,0,0),1)</f>
        <v>0.23958333333333348</v>
      </c>
      <c r="K13" s="45">
        <f>MOD(Table2[[#This Row],[Break 2]]+TIME(12,0,0),1)</f>
        <v>0.30208333333333348</v>
      </c>
      <c r="L13" s="45">
        <f>MOD(Table2[[#This Row],[Lunch]]+TIME(12,0,0),1)</f>
        <v>0.46875</v>
      </c>
      <c r="M13" s="45">
        <f>MOD(Table2[[#This Row],[Break 3]]+TIME(12,0,0),1)</f>
        <v>0.36458333333333348</v>
      </c>
      <c r="N13" s="44" t="str">
        <f>Table2[[#This Row],[Supervisor]]</f>
        <v>Michael Dominguez</v>
      </c>
      <c r="O13" s="44" t="s">
        <v>55</v>
      </c>
      <c r="P13" s="44">
        <f t="shared" si="1"/>
        <v>1</v>
      </c>
    </row>
    <row r="14" spans="1:16">
      <c r="A14" s="44" t="str">
        <f>Table2[[#This Row],[Name]]</f>
        <v>Nelson Tamayo</v>
      </c>
      <c r="B1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16:00 - 03:00</v>
      </c>
      <c r="C1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16:00 - 03:00</v>
      </c>
      <c r="H1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16:00 - 03:00</v>
      </c>
      <c r="I14" s="44" t="str">
        <f t="shared" si="2"/>
        <v>Wed - Thu - Fri</v>
      </c>
      <c r="J14" s="45">
        <f>MOD(Table2[[#This Row],[Break 1]]+TIME(12,0,0),1)</f>
        <v>0.76041666666666674</v>
      </c>
      <c r="K14" s="45">
        <f>MOD(Table2[[#This Row],[Break 2]]+TIME(12,0,0),1)</f>
        <v>0.96875</v>
      </c>
      <c r="L14" s="45">
        <f>MOD(Table2[[#This Row],[Lunch]]+TIME(12,0,0),1)</f>
        <v>0.83333333333333326</v>
      </c>
      <c r="M14" s="45">
        <f>MOD(Table2[[#This Row],[Break 3]]+TIME(12,0,0),1)</f>
        <v>6.25E-2</v>
      </c>
      <c r="N14" s="44" t="str">
        <f>Table2[[#This Row],[Supervisor]]</f>
        <v>Manilyn Abellar</v>
      </c>
      <c r="O14" s="44" t="s">
        <v>57</v>
      </c>
      <c r="P14" s="44">
        <f t="shared" si="1"/>
        <v>0</v>
      </c>
    </row>
    <row r="15" spans="1:16">
      <c r="A15" s="44" t="str">
        <f>Table2[[#This Row],[Name]]</f>
        <v>Ressan Resus</v>
      </c>
      <c r="B1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1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1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1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15" s="44" t="str">
        <f t="shared" si="2"/>
        <v>Tue - Wed - Thu</v>
      </c>
      <c r="J15" s="45">
        <f>MOD(Table2[[#This Row],[Break 1]]+TIME(12,0,0),1)</f>
        <v>0.57291666666666663</v>
      </c>
      <c r="K15" s="45">
        <f>MOD(Table2[[#This Row],[Break 2]]+TIME(12,0,0),1)</f>
        <v>0.77083333333333326</v>
      </c>
      <c r="L15" s="45">
        <f>MOD(Table2[[#This Row],[Lunch]]+TIME(12,0,0),1)</f>
        <v>0.64583333333333337</v>
      </c>
      <c r="M15" s="45">
        <f>MOD(Table2[[#This Row],[Break 3]]+TIME(12,0,0),1)</f>
        <v>0.86458333333333326</v>
      </c>
      <c r="N15" s="44" t="str">
        <f>Table2[[#This Row],[Supervisor]]</f>
        <v>Christopher Borromeo</v>
      </c>
      <c r="O15" s="44" t="s">
        <v>34</v>
      </c>
      <c r="P15" s="44">
        <f t="shared" si="1"/>
        <v>0</v>
      </c>
    </row>
    <row r="16" spans="1:16">
      <c r="A16" s="44" t="str">
        <f>Table2[[#This Row],[Name]]</f>
        <v>Roel Gutay</v>
      </c>
      <c r="B1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1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1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1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18:00 - 05:00</v>
      </c>
      <c r="I16" s="44" t="str">
        <f t="shared" si="2"/>
        <v>Tue - Wed - Fri</v>
      </c>
      <c r="J16" s="45">
        <f>MOD(Table2[[#This Row],[Break 1]]+TIME(12,0,0),1)</f>
        <v>0.94791666666666674</v>
      </c>
      <c r="K16" s="45">
        <f>MOD(Table2[[#This Row],[Break 2]]+TIME(12,0,0),1)</f>
        <v>1.0416666666666519E-2</v>
      </c>
      <c r="L16" s="45">
        <f>MOD(Table2[[#This Row],[Lunch]]+TIME(12,0,0),1)</f>
        <v>0.82291666666666674</v>
      </c>
      <c r="M16" s="45">
        <f>MOD(Table2[[#This Row],[Break 3]]+TIME(12,0,0),1)</f>
        <v>0.13541666666666652</v>
      </c>
      <c r="N16" s="44" t="str">
        <f>Table2[[#This Row],[Supervisor]]</f>
        <v>Anmheca Valencia</v>
      </c>
      <c r="O16" s="44" t="s">
        <v>60</v>
      </c>
      <c r="P16" s="44">
        <f t="shared" si="1"/>
        <v>0</v>
      </c>
    </row>
    <row r="17" spans="1:16">
      <c r="A17" s="44" t="str">
        <f>Table2[[#This Row],[Name]]</f>
        <v>Ronald Balitos</v>
      </c>
      <c r="B1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1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1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1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1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7" s="44" t="str">
        <f t="shared" si="2"/>
        <v>Mon - Sat - Sun</v>
      </c>
      <c r="J17" s="45">
        <f>MOD(Table2[[#This Row],[Break 1]]+TIME(12,0,0),1)</f>
        <v>0.13541666666666652</v>
      </c>
      <c r="K17" s="45">
        <f>MOD(Table2[[#This Row],[Break 2]]+TIME(12,0,0),1)</f>
        <v>0.21875</v>
      </c>
      <c r="L17" s="45">
        <f>MOD(Table2[[#This Row],[Lunch]]+TIME(12,0,0),1)</f>
        <v>0.3125</v>
      </c>
      <c r="M17" s="45">
        <f>MOD(Table2[[#This Row],[Break 3]]+TIME(12,0,0),1)</f>
        <v>0.41666666666666652</v>
      </c>
      <c r="N17" s="44" t="str">
        <f>Table2[[#This Row],[Supervisor]]</f>
        <v>Remmo Panaligan</v>
      </c>
      <c r="O17" s="44" t="s">
        <v>20</v>
      </c>
      <c r="P17" s="44">
        <f t="shared" si="1"/>
        <v>1</v>
      </c>
    </row>
    <row r="18" spans="1:16">
      <c r="A18" s="44" t="str">
        <f>Table2[[#This Row],[Name]]</f>
        <v>Rossner Adonis</v>
      </c>
      <c r="B1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23:00 - 10:00</v>
      </c>
      <c r="G1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44" t="str">
        <f t="shared" si="2"/>
        <v>Wed - Sat - Sun</v>
      </c>
      <c r="J18" s="45">
        <f>MOD(Table2[[#This Row],[Break 1]]+TIME(12,0,0),1)</f>
        <v>3.125E-2</v>
      </c>
      <c r="K18" s="45">
        <f>MOD(Table2[[#This Row],[Break 2]]+TIME(12,0,0),1)</f>
        <v>0.14583333333333348</v>
      </c>
      <c r="L18" s="45">
        <f>MOD(Table2[[#This Row],[Lunch]]+TIME(12,0,0),1)</f>
        <v>0.23958333333333348</v>
      </c>
      <c r="M18" s="45">
        <f>MOD(Table2[[#This Row],[Break 3]]+TIME(12,0,0),1)</f>
        <v>0.34375</v>
      </c>
      <c r="N18" s="44" t="str">
        <f>Table2[[#This Row],[Supervisor]]</f>
        <v>Anmheca Valencia</v>
      </c>
      <c r="O18" s="44" t="s">
        <v>61</v>
      </c>
      <c r="P18" s="44">
        <f t="shared" si="1"/>
        <v>0</v>
      </c>
    </row>
    <row r="19" spans="1:16">
      <c r="A19" s="44" t="str">
        <f>Table2[[#This Row],[Name]]</f>
        <v>Rudylyn Gay May Tabor</v>
      </c>
      <c r="B1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44" t="str">
        <f t="shared" si="2"/>
        <v>Fri - Sat - Sun</v>
      </c>
      <c r="J19" s="45">
        <f>MOD(Table2[[#This Row],[Break 1]]+TIME(12,0,0),1)</f>
        <v>0.9375</v>
      </c>
      <c r="K19" s="45">
        <f>MOD(Table2[[#This Row],[Break 2]]+TIME(12,0,0),1)</f>
        <v>2.0833333333333481E-2</v>
      </c>
      <c r="L19" s="45">
        <f>MOD(Table2[[#This Row],[Lunch]]+TIME(12,0,0),1)</f>
        <v>0.16666666666666652</v>
      </c>
      <c r="M19" s="45">
        <f>MOD(Table2[[#This Row],[Break 3]]+TIME(12,0,0),1)</f>
        <v>0.125</v>
      </c>
      <c r="N19" s="44" t="str">
        <f>Table2[[#This Row],[Supervisor]]</f>
        <v>Anmheca Valencia</v>
      </c>
      <c r="O19" s="44" t="s">
        <v>62</v>
      </c>
      <c r="P19" s="44">
        <f t="shared" si="1"/>
        <v>0</v>
      </c>
    </row>
    <row r="20" spans="1:16">
      <c r="A20" s="44"/>
      <c r="B20" s="44"/>
      <c r="C20" s="44"/>
      <c r="D20" s="44"/>
      <c r="E20" s="44"/>
      <c r="F20" s="44"/>
      <c r="G20" s="44"/>
      <c r="H20" s="44"/>
      <c r="I20" s="44"/>
      <c r="J20" s="45"/>
      <c r="K20" s="45"/>
      <c r="L20" s="45"/>
      <c r="M20" s="45"/>
      <c r="N20" s="44"/>
      <c r="O20" s="44"/>
      <c r="P20" s="44"/>
    </row>
    <row r="21" spans="1:16">
      <c r="A21" s="44"/>
      <c r="B21" s="44"/>
      <c r="C21" s="44"/>
      <c r="D21" s="44"/>
      <c r="E21" s="44"/>
      <c r="F21" s="44"/>
      <c r="G21" s="44"/>
      <c r="H21" s="44"/>
      <c r="I21" s="44"/>
      <c r="J21" s="45"/>
      <c r="K21" s="45"/>
      <c r="L21" s="45"/>
      <c r="M21" s="45"/>
      <c r="N21" s="44"/>
      <c r="O21" s="44"/>
      <c r="P21" s="44"/>
    </row>
    <row r="22" spans="1:16">
      <c r="A22" s="44"/>
      <c r="B22" s="44"/>
      <c r="C22" s="44"/>
      <c r="D22" s="44"/>
      <c r="E22" s="44"/>
      <c r="F22" s="44"/>
      <c r="G22" s="44"/>
      <c r="H22" s="44"/>
      <c r="I22" s="44"/>
      <c r="J22" s="45"/>
      <c r="K22" s="45"/>
      <c r="L22" s="45"/>
      <c r="M22" s="45"/>
      <c r="N22" s="44"/>
      <c r="O22" s="44"/>
      <c r="P22" s="44"/>
    </row>
    <row r="23" spans="1:16">
      <c r="A23" s="44"/>
      <c r="B23" s="44"/>
      <c r="C23" s="44"/>
      <c r="D23" s="44"/>
      <c r="E23" s="44"/>
      <c r="F23" s="44"/>
      <c r="G23" s="44"/>
      <c r="H23" s="44"/>
      <c r="I23" s="44"/>
      <c r="J23" s="45"/>
      <c r="K23" s="45"/>
      <c r="L23" s="45"/>
      <c r="M23" s="45"/>
      <c r="N23" s="44"/>
      <c r="O23" s="44"/>
      <c r="P23" s="44"/>
    </row>
    <row r="24" spans="1:16">
      <c r="A24" s="44"/>
      <c r="B24" s="44"/>
      <c r="C24" s="44"/>
      <c r="D24" s="44"/>
      <c r="E24" s="44"/>
      <c r="F24" s="44"/>
      <c r="G24" s="44"/>
      <c r="H24" s="44"/>
      <c r="I24" s="44"/>
      <c r="J24" s="45"/>
      <c r="K24" s="45"/>
      <c r="L24" s="45"/>
      <c r="M24" s="45"/>
      <c r="N24" s="44"/>
      <c r="O24" s="44"/>
      <c r="P24" s="44"/>
    </row>
    <row r="25" spans="1:16">
      <c r="A25" s="44"/>
      <c r="B25" s="44"/>
      <c r="C25" s="44"/>
      <c r="D25" s="44"/>
      <c r="E25" s="44"/>
      <c r="F25" s="44"/>
      <c r="G25" s="44"/>
      <c r="H25" s="44"/>
      <c r="I25" s="44"/>
      <c r="J25" s="45"/>
      <c r="K25" s="45"/>
      <c r="L25" s="45"/>
      <c r="M25" s="45"/>
      <c r="N25" s="44"/>
      <c r="O25" s="44"/>
      <c r="P25" s="44"/>
    </row>
    <row r="26" spans="1:16">
      <c r="A26" s="44"/>
      <c r="B26" s="44"/>
      <c r="C26" s="44"/>
      <c r="D26" s="44"/>
      <c r="E26" s="44"/>
      <c r="F26" s="44"/>
      <c r="G26" s="44"/>
      <c r="H26" s="44"/>
      <c r="I26" s="44"/>
      <c r="J26" s="45"/>
      <c r="K26" s="45"/>
      <c r="L26" s="45"/>
      <c r="M26" s="45"/>
      <c r="N26" s="44"/>
      <c r="O26" s="44"/>
      <c r="P26" s="44"/>
    </row>
    <row r="27" spans="1:16">
      <c r="A27" s="44"/>
      <c r="B27" s="44"/>
      <c r="C27" s="44"/>
      <c r="D27" s="44"/>
      <c r="E27" s="44"/>
      <c r="F27" s="44"/>
      <c r="G27" s="44"/>
      <c r="H27" s="44"/>
      <c r="I27" s="44"/>
      <c r="J27" s="45"/>
      <c r="K27" s="45"/>
      <c r="L27" s="45"/>
      <c r="M27" s="45"/>
      <c r="N27" s="44"/>
      <c r="O27" s="44"/>
      <c r="P27" s="44"/>
    </row>
    <row r="28" spans="1:16">
      <c r="A28" s="44"/>
      <c r="B28" s="44"/>
      <c r="C28" s="44"/>
      <c r="D28" s="44"/>
      <c r="E28" s="44"/>
      <c r="F28" s="44"/>
      <c r="G28" s="44"/>
      <c r="H28" s="44"/>
      <c r="I28" s="44"/>
      <c r="J28" s="45"/>
      <c r="K28" s="45"/>
      <c r="L28" s="45"/>
      <c r="M28" s="45"/>
      <c r="N28" s="44"/>
      <c r="O28" s="44"/>
      <c r="P28" s="44"/>
    </row>
    <row r="29" spans="1:16">
      <c r="A29" s="44"/>
      <c r="B29" s="44"/>
      <c r="C29" s="44"/>
      <c r="D29" s="44"/>
      <c r="E29" s="44"/>
      <c r="F29" s="44"/>
      <c r="G29" s="44"/>
      <c r="H29" s="44"/>
      <c r="I29" s="44"/>
      <c r="J29" s="45"/>
      <c r="K29" s="45"/>
      <c r="L29" s="45"/>
      <c r="M29" s="45"/>
      <c r="N29" s="44"/>
      <c r="O29" s="44"/>
      <c r="P29" s="44"/>
    </row>
    <row r="30" spans="1:16">
      <c r="A30" s="44"/>
      <c r="B30" s="44"/>
      <c r="C30" s="44"/>
      <c r="D30" s="44"/>
      <c r="E30" s="44"/>
      <c r="F30" s="44"/>
      <c r="G30" s="44"/>
      <c r="H30" s="44"/>
      <c r="I30" s="44"/>
      <c r="J30" s="45"/>
      <c r="K30" s="45"/>
      <c r="L30" s="45"/>
      <c r="M30" s="45"/>
      <c r="N30" s="44"/>
      <c r="O30" s="44"/>
      <c r="P30" s="44"/>
    </row>
    <row r="31" spans="1:16">
      <c r="A31" s="44"/>
      <c r="B31" s="44"/>
      <c r="C31" s="44"/>
      <c r="D31" s="44"/>
      <c r="E31" s="44"/>
      <c r="F31" s="44"/>
      <c r="G31" s="44"/>
      <c r="H31" s="44"/>
      <c r="I31" s="44"/>
      <c r="J31" s="45"/>
      <c r="K31" s="45"/>
      <c r="L31" s="45"/>
      <c r="M31" s="45"/>
      <c r="N31" s="44"/>
      <c r="O31" s="44"/>
      <c r="P31" s="44"/>
    </row>
    <row r="32" spans="1:16">
      <c r="A32" s="44"/>
      <c r="B32" s="44"/>
      <c r="C32" s="44"/>
      <c r="D32" s="44"/>
      <c r="E32" s="44"/>
      <c r="F32" s="44"/>
      <c r="G32" s="44"/>
      <c r="H32" s="44"/>
      <c r="I32" s="44"/>
      <c r="J32" s="45"/>
      <c r="K32" s="45"/>
      <c r="L32" s="45"/>
      <c r="M32" s="45"/>
      <c r="N32" s="44"/>
      <c r="O32" s="44"/>
      <c r="P32" s="44"/>
    </row>
    <row r="33" spans="1:16">
      <c r="A33" s="44"/>
      <c r="B33" s="44"/>
      <c r="C33" s="44"/>
      <c r="D33" s="44"/>
      <c r="E33" s="44"/>
      <c r="F33" s="44"/>
      <c r="G33" s="44"/>
      <c r="H33" s="44"/>
      <c r="I33" s="44"/>
      <c r="J33" s="45"/>
      <c r="K33" s="45"/>
      <c r="L33" s="45"/>
      <c r="M33" s="45"/>
      <c r="N33" s="44"/>
      <c r="O33" s="44"/>
      <c r="P33" s="44"/>
    </row>
    <row r="34" spans="1:16">
      <c r="A34" s="44"/>
      <c r="B34" s="44"/>
      <c r="C34" s="44"/>
      <c r="D34" s="44"/>
      <c r="E34" s="44"/>
      <c r="F34" s="44"/>
      <c r="G34" s="44"/>
      <c r="H34" s="44"/>
      <c r="I34" s="44"/>
      <c r="J34" s="45"/>
      <c r="K34" s="45"/>
      <c r="L34" s="45"/>
      <c r="M34" s="45"/>
      <c r="N34" s="44"/>
      <c r="O34" s="44"/>
      <c r="P34" s="44"/>
    </row>
    <row r="35" spans="1:16">
      <c r="A35" s="44"/>
      <c r="B35" s="44"/>
      <c r="C35" s="44"/>
      <c r="D35" s="44"/>
      <c r="E35" s="44"/>
      <c r="F35" s="44"/>
      <c r="G35" s="44"/>
      <c r="H35" s="44"/>
      <c r="I35" s="44"/>
      <c r="J35" s="45"/>
      <c r="K35" s="45"/>
      <c r="L35" s="45"/>
      <c r="M35" s="45"/>
      <c r="N35" s="44"/>
      <c r="O35" s="44"/>
      <c r="P35" s="44"/>
    </row>
    <row r="36" spans="1:16">
      <c r="A36" s="44"/>
      <c r="B36" s="44"/>
      <c r="C36" s="44"/>
      <c r="D36" s="44"/>
      <c r="E36" s="44"/>
      <c r="F36" s="44"/>
      <c r="G36" s="44"/>
      <c r="H36" s="44"/>
      <c r="I36" s="44"/>
      <c r="J36" s="45"/>
      <c r="K36" s="45"/>
      <c r="L36" s="45"/>
      <c r="M36" s="45"/>
      <c r="N36" s="44"/>
      <c r="O36" s="44"/>
      <c r="P36" s="44"/>
    </row>
    <row r="37" spans="1:16">
      <c r="A37" s="44"/>
      <c r="B37" s="44"/>
      <c r="C37" s="44"/>
      <c r="D37" s="44"/>
      <c r="E37" s="44"/>
      <c r="F37" s="44"/>
      <c r="G37" s="44"/>
      <c r="H37" s="44"/>
      <c r="I37" s="44"/>
      <c r="J37" s="45"/>
      <c r="K37" s="45"/>
      <c r="L37" s="45"/>
      <c r="M37" s="45"/>
      <c r="N37" s="44"/>
      <c r="O37" s="44"/>
      <c r="P37" s="44"/>
    </row>
    <row r="38" spans="1:16">
      <c r="A38" s="44"/>
      <c r="B38" s="44"/>
      <c r="C38" s="44"/>
      <c r="D38" s="44"/>
      <c r="E38" s="44"/>
      <c r="F38" s="44"/>
      <c r="G38" s="44"/>
      <c r="H38" s="44"/>
      <c r="I38" s="44"/>
      <c r="J38" s="45"/>
      <c r="K38" s="45"/>
      <c r="L38" s="45"/>
      <c r="M38" s="45"/>
      <c r="N38" s="44"/>
      <c r="O38" s="44"/>
      <c r="P38" s="44"/>
    </row>
    <row r="39" spans="1:16">
      <c r="A39" s="44"/>
      <c r="B39" s="44"/>
      <c r="C39" s="44"/>
      <c r="D39" s="44"/>
      <c r="E39" s="44"/>
      <c r="F39" s="44"/>
      <c r="G39" s="44"/>
      <c r="H39" s="44"/>
      <c r="I39" s="44"/>
      <c r="J39" s="45"/>
      <c r="K39" s="45"/>
      <c r="L39" s="45"/>
      <c r="M39" s="45"/>
      <c r="N39" s="44"/>
      <c r="O39" s="44"/>
      <c r="P39" s="44"/>
    </row>
    <row r="40" spans="1:16">
      <c r="A40" s="44"/>
      <c r="B40" s="44"/>
      <c r="C40" s="44"/>
      <c r="D40" s="44"/>
      <c r="E40" s="44"/>
      <c r="F40" s="44"/>
      <c r="G40" s="44"/>
      <c r="H40" s="44"/>
      <c r="I40" s="44"/>
      <c r="J40" s="45"/>
      <c r="K40" s="45"/>
      <c r="L40" s="45"/>
      <c r="M40" s="45"/>
      <c r="N40" s="44"/>
      <c r="O40" s="44"/>
      <c r="P40" s="44"/>
    </row>
    <row r="41" spans="1:16">
      <c r="A41" s="44"/>
      <c r="B41" s="44"/>
      <c r="C41" s="44"/>
      <c r="D41" s="44"/>
      <c r="E41" s="44"/>
      <c r="F41" s="44"/>
      <c r="G41" s="44"/>
      <c r="H41" s="44"/>
      <c r="I41" s="44"/>
      <c r="J41" s="45"/>
      <c r="K41" s="45"/>
      <c r="L41" s="45"/>
      <c r="M41" s="45"/>
      <c r="N41" s="44"/>
      <c r="O41" s="44"/>
      <c r="P41" s="44"/>
    </row>
    <row r="42" spans="1:16">
      <c r="A42" s="44"/>
      <c r="B42" s="44"/>
      <c r="C42" s="44"/>
      <c r="D42" s="44"/>
      <c r="E42" s="44"/>
      <c r="F42" s="44"/>
      <c r="G42" s="44"/>
      <c r="H42" s="44"/>
      <c r="I42" s="44"/>
      <c r="J42" s="45"/>
      <c r="K42" s="45"/>
      <c r="L42" s="45"/>
      <c r="M42" s="45"/>
      <c r="N42" s="44"/>
      <c r="O42" s="44"/>
      <c r="P42" s="44"/>
    </row>
    <row r="43" spans="1:16">
      <c r="A43" s="44"/>
      <c r="B43" s="44"/>
      <c r="C43" s="44"/>
      <c r="D43" s="44"/>
      <c r="E43" s="44"/>
      <c r="F43" s="44"/>
      <c r="G43" s="44"/>
      <c r="H43" s="44"/>
      <c r="I43" s="44"/>
      <c r="J43" s="45"/>
      <c r="K43" s="45"/>
      <c r="L43" s="45"/>
      <c r="M43" s="45"/>
      <c r="N43" s="44"/>
      <c r="O43" s="44"/>
      <c r="P43" s="44"/>
    </row>
    <row r="44" spans="1:16">
      <c r="A44" s="44"/>
      <c r="B44" s="44"/>
      <c r="C44" s="44"/>
      <c r="D44" s="44"/>
      <c r="E44" s="44"/>
      <c r="F44" s="44"/>
      <c r="G44" s="44"/>
      <c r="H44" s="44"/>
      <c r="I44" s="44"/>
      <c r="J44" s="45"/>
      <c r="K44" s="45"/>
      <c r="L44" s="45"/>
      <c r="M44" s="45"/>
      <c r="N44" s="44"/>
      <c r="O44" s="44"/>
      <c r="P44" s="44"/>
    </row>
    <row r="45" spans="1:16">
      <c r="A45" s="44"/>
      <c r="B45" s="44"/>
      <c r="C45" s="44"/>
      <c r="D45" s="44"/>
      <c r="E45" s="44"/>
      <c r="F45" s="44"/>
      <c r="G45" s="44"/>
      <c r="H45" s="44"/>
      <c r="I45" s="44"/>
      <c r="J45" s="45"/>
      <c r="K45" s="45"/>
      <c r="L45" s="45"/>
      <c r="M45" s="45"/>
      <c r="N45" s="44"/>
      <c r="O45" s="44"/>
      <c r="P45" s="44"/>
    </row>
    <row r="46" spans="1:16">
      <c r="A46" s="44"/>
      <c r="B46" s="44"/>
      <c r="C46" s="44"/>
      <c r="D46" s="44"/>
      <c r="E46" s="44"/>
      <c r="F46" s="44"/>
      <c r="G46" s="44"/>
      <c r="H46" s="44"/>
      <c r="I46" s="44"/>
      <c r="J46" s="45"/>
      <c r="K46" s="45"/>
      <c r="L46" s="45"/>
      <c r="M46" s="45"/>
      <c r="N46" s="44"/>
      <c r="O46" s="44"/>
      <c r="P46" s="44"/>
    </row>
    <row r="47" spans="1:16">
      <c r="A47" s="44"/>
      <c r="B47" s="44"/>
      <c r="C47" s="44"/>
      <c r="D47" s="44"/>
      <c r="E47" s="44"/>
      <c r="F47" s="44"/>
      <c r="G47" s="44"/>
      <c r="H47" s="44"/>
      <c r="I47" s="44"/>
      <c r="J47" s="45"/>
      <c r="K47" s="45"/>
      <c r="L47" s="45"/>
      <c r="M47" s="45"/>
      <c r="N47" s="44"/>
      <c r="O47" s="44"/>
      <c r="P47" s="44"/>
    </row>
    <row r="48" spans="1:16">
      <c r="A48" s="44"/>
      <c r="B48" s="44"/>
      <c r="C48" s="44"/>
      <c r="D48" s="44"/>
      <c r="E48" s="44"/>
      <c r="F48" s="44"/>
      <c r="G48" s="44"/>
      <c r="H48" s="44"/>
      <c r="I48" s="44"/>
      <c r="J48" s="45"/>
      <c r="K48" s="45"/>
      <c r="L48" s="45"/>
      <c r="M48" s="45"/>
      <c r="N48" s="44"/>
      <c r="O48" s="44"/>
      <c r="P48" s="44"/>
    </row>
    <row r="49" spans="1:16">
      <c r="A49" s="44"/>
      <c r="B49" s="44"/>
      <c r="C49" s="44"/>
      <c r="D49" s="44"/>
      <c r="E49" s="44"/>
      <c r="F49" s="44"/>
      <c r="G49" s="44"/>
      <c r="H49" s="44"/>
      <c r="I49" s="44"/>
      <c r="J49" s="45"/>
      <c r="K49" s="45"/>
      <c r="L49" s="45"/>
      <c r="M49" s="45"/>
      <c r="N49" s="44"/>
      <c r="O49" s="44"/>
      <c r="P49" s="44"/>
    </row>
    <row r="50" spans="1:16">
      <c r="A50" s="44"/>
      <c r="B50" s="44"/>
      <c r="C50" s="44"/>
      <c r="D50" s="44"/>
      <c r="E50" s="44"/>
      <c r="F50" s="44"/>
      <c r="G50" s="44"/>
      <c r="H50" s="44"/>
      <c r="I50" s="44"/>
      <c r="J50" s="45"/>
      <c r="K50" s="45"/>
      <c r="L50" s="45"/>
      <c r="M50" s="45"/>
      <c r="N50" s="44"/>
      <c r="O50" s="44"/>
      <c r="P50" s="44"/>
    </row>
    <row r="51" spans="1:16">
      <c r="A51" s="44"/>
      <c r="B51" s="44"/>
      <c r="C51" s="44"/>
      <c r="D51" s="44"/>
      <c r="E51" s="44"/>
      <c r="F51" s="44"/>
      <c r="G51" s="44"/>
      <c r="H51" s="44"/>
      <c r="I51" s="44"/>
      <c r="J51" s="45"/>
      <c r="K51" s="45"/>
      <c r="L51" s="45"/>
      <c r="M51" s="45"/>
      <c r="N51" s="44"/>
      <c r="O51" s="44"/>
      <c r="P51" s="44"/>
    </row>
    <row r="52" spans="1:16">
      <c r="A52" s="44"/>
      <c r="B52" s="44"/>
      <c r="C52" s="44"/>
      <c r="D52" s="44"/>
      <c r="E52" s="44"/>
      <c r="F52" s="44"/>
      <c r="G52" s="44"/>
      <c r="H52" s="44"/>
      <c r="I52" s="44"/>
      <c r="J52" s="45"/>
      <c r="K52" s="45"/>
      <c r="L52" s="45"/>
      <c r="M52" s="45"/>
      <c r="N52" s="44"/>
      <c r="O52" s="44"/>
      <c r="P52" s="44"/>
    </row>
    <row r="53" spans="1:16">
      <c r="A53" s="44"/>
      <c r="B53" s="44"/>
      <c r="C53" s="44"/>
      <c r="D53" s="44"/>
      <c r="E53" s="44"/>
      <c r="F53" s="44"/>
      <c r="G53" s="44"/>
      <c r="H53" s="44"/>
      <c r="I53" s="44"/>
      <c r="J53" s="45"/>
      <c r="K53" s="45"/>
      <c r="L53" s="45"/>
      <c r="M53" s="45"/>
      <c r="N53" s="44"/>
      <c r="O53" s="44"/>
      <c r="P53" s="44"/>
    </row>
    <row r="54" spans="1:16">
      <c r="A54" s="44"/>
      <c r="B54" s="44"/>
      <c r="C54" s="44"/>
      <c r="D54" s="44"/>
      <c r="E54" s="44"/>
      <c r="F54" s="44"/>
      <c r="G54" s="44"/>
      <c r="H54" s="44"/>
      <c r="I54" s="44"/>
      <c r="J54" s="45"/>
      <c r="K54" s="45"/>
      <c r="L54" s="45"/>
      <c r="M54" s="45"/>
      <c r="N54" s="44"/>
      <c r="O54" s="44"/>
      <c r="P54" s="44"/>
    </row>
    <row r="55" spans="1:16">
      <c r="A55" s="44"/>
      <c r="B55" s="44"/>
      <c r="C55" s="44"/>
      <c r="D55" s="44"/>
      <c r="E55" s="44"/>
      <c r="F55" s="44"/>
      <c r="G55" s="44"/>
      <c r="H55" s="44"/>
      <c r="I55" s="44"/>
      <c r="J55" s="45"/>
      <c r="K55" s="45"/>
      <c r="L55" s="45"/>
      <c r="M55" s="45"/>
      <c r="N55" s="44"/>
      <c r="O55" s="44"/>
      <c r="P55" s="44"/>
    </row>
    <row r="56" spans="1:16">
      <c r="A56" s="44"/>
      <c r="B56" s="44"/>
      <c r="C56" s="44"/>
      <c r="D56" s="44"/>
      <c r="E56" s="44"/>
      <c r="F56" s="44"/>
      <c r="G56" s="44"/>
      <c r="H56" s="44"/>
      <c r="I56" s="44"/>
      <c r="J56" s="45"/>
      <c r="K56" s="45"/>
      <c r="L56" s="45"/>
      <c r="M56" s="45"/>
      <c r="N56" s="44"/>
      <c r="O56" s="44"/>
      <c r="P56" s="44"/>
    </row>
    <row r="57" spans="1:16">
      <c r="A57" s="44"/>
      <c r="B57" s="44"/>
      <c r="C57" s="44"/>
      <c r="D57" s="44"/>
      <c r="E57" s="44"/>
      <c r="F57" s="44"/>
      <c r="G57" s="44"/>
      <c r="H57" s="44"/>
      <c r="I57" s="44"/>
      <c r="J57" s="45"/>
      <c r="K57" s="45"/>
      <c r="L57" s="45"/>
      <c r="M57" s="45"/>
      <c r="N57" s="44"/>
      <c r="O57" s="44"/>
      <c r="P57" s="44"/>
    </row>
    <row r="58" spans="1:16">
      <c r="A58" s="44"/>
      <c r="B58" s="44"/>
      <c r="C58" s="44"/>
      <c r="D58" s="44"/>
      <c r="E58" s="44"/>
      <c r="F58" s="44"/>
      <c r="G58" s="44"/>
      <c r="H58" s="44"/>
      <c r="I58" s="44"/>
      <c r="J58" s="45"/>
      <c r="K58" s="45"/>
      <c r="L58" s="45"/>
      <c r="M58" s="45"/>
      <c r="N58" s="44"/>
      <c r="O58" s="44"/>
      <c r="P58" s="44"/>
    </row>
    <row r="59" spans="1:16">
      <c r="A59" s="44"/>
      <c r="B59" s="44"/>
      <c r="C59" s="44"/>
      <c r="D59" s="44"/>
      <c r="E59" s="44"/>
      <c r="F59" s="44"/>
      <c r="G59" s="44"/>
      <c r="H59" s="44"/>
      <c r="I59" s="44"/>
      <c r="J59" s="45"/>
      <c r="K59" s="45"/>
      <c r="L59" s="45"/>
      <c r="M59" s="45"/>
      <c r="N59" s="44"/>
      <c r="O59" s="44"/>
      <c r="P59" s="44"/>
    </row>
    <row r="60" spans="1:16">
      <c r="A60" s="44"/>
      <c r="B60" s="44"/>
      <c r="C60" s="44"/>
      <c r="D60" s="44"/>
      <c r="E60" s="44"/>
      <c r="F60" s="44"/>
      <c r="G60" s="44"/>
      <c r="H60" s="44"/>
      <c r="I60" s="44"/>
      <c r="J60" s="45"/>
      <c r="K60" s="45"/>
      <c r="L60" s="45"/>
      <c r="M60" s="45"/>
      <c r="N60" s="44"/>
      <c r="O60" s="44"/>
      <c r="P60" s="44"/>
    </row>
    <row r="61" spans="1:16">
      <c r="A61" s="44"/>
      <c r="B61" s="44"/>
      <c r="C61" s="44"/>
      <c r="D61" s="44"/>
      <c r="E61" s="44"/>
      <c r="F61" s="44"/>
      <c r="G61" s="44"/>
      <c r="H61" s="44"/>
      <c r="I61" s="44"/>
      <c r="J61" s="45"/>
      <c r="K61" s="45"/>
      <c r="L61" s="45"/>
      <c r="M61" s="45"/>
      <c r="N61" s="44"/>
      <c r="O61" s="44"/>
      <c r="P61" s="44"/>
    </row>
    <row r="62" spans="1:16">
      <c r="A62" s="44"/>
      <c r="B62" s="44"/>
      <c r="C62" s="44"/>
      <c r="D62" s="44"/>
      <c r="E62" s="44"/>
      <c r="F62" s="44"/>
      <c r="G62" s="44"/>
      <c r="H62" s="44"/>
      <c r="I62" s="44"/>
      <c r="J62" s="45"/>
      <c r="K62" s="45"/>
      <c r="L62" s="45"/>
      <c r="M62" s="45"/>
      <c r="N62" s="44"/>
      <c r="O62" s="44"/>
      <c r="P62" s="44"/>
    </row>
    <row r="63" spans="1:16">
      <c r="A63" s="44"/>
      <c r="B63" s="44"/>
      <c r="C63" s="44"/>
      <c r="D63" s="44"/>
      <c r="E63" s="44"/>
      <c r="F63" s="44"/>
      <c r="G63" s="44"/>
      <c r="H63" s="44"/>
      <c r="I63" s="44"/>
      <c r="J63" s="45"/>
      <c r="K63" s="45"/>
      <c r="L63" s="45"/>
      <c r="M63" s="45"/>
      <c r="N63" s="44"/>
      <c r="O63" s="44"/>
      <c r="P63" s="44"/>
    </row>
    <row r="64" spans="1:16">
      <c r="A64" s="44"/>
      <c r="B64" s="44"/>
      <c r="C64" s="44"/>
      <c r="D64" s="44"/>
      <c r="E64" s="44"/>
      <c r="F64" s="44"/>
      <c r="G64" s="44"/>
      <c r="H64" s="44"/>
      <c r="I64" s="44"/>
      <c r="J64" s="45"/>
      <c r="K64" s="45"/>
      <c r="L64" s="45"/>
      <c r="M64" s="45"/>
      <c r="N64" s="44"/>
      <c r="O64" s="44"/>
      <c r="P64" s="44"/>
    </row>
    <row r="65" spans="1:16">
      <c r="A65" s="44"/>
      <c r="B65" s="44"/>
      <c r="C65" s="44"/>
      <c r="D65" s="44"/>
      <c r="E65" s="44"/>
      <c r="F65" s="44"/>
      <c r="G65" s="44"/>
      <c r="H65" s="44"/>
      <c r="I65" s="44"/>
      <c r="J65" s="45"/>
      <c r="K65" s="45"/>
      <c r="L65" s="45"/>
      <c r="M65" s="45"/>
      <c r="N65" s="44"/>
      <c r="O65" s="44"/>
      <c r="P65" s="44"/>
    </row>
    <row r="66" spans="1:16">
      <c r="A66" s="44"/>
      <c r="B66" s="44"/>
      <c r="C66" s="44"/>
      <c r="D66" s="44"/>
      <c r="E66" s="44"/>
      <c r="F66" s="44"/>
      <c r="G66" s="44"/>
      <c r="H66" s="44"/>
      <c r="I66" s="44"/>
      <c r="J66" s="45"/>
      <c r="K66" s="45"/>
      <c r="L66" s="45"/>
      <c r="M66" s="45"/>
      <c r="N66" s="44"/>
      <c r="O66" s="44"/>
      <c r="P66" s="44"/>
    </row>
    <row r="67" spans="1:16">
      <c r="A67" s="44"/>
      <c r="B67" s="44"/>
      <c r="C67" s="44"/>
      <c r="D67" s="44"/>
      <c r="E67" s="44"/>
      <c r="F67" s="44"/>
      <c r="G67" s="44"/>
      <c r="H67" s="44"/>
      <c r="I67" s="44"/>
      <c r="J67" s="45"/>
      <c r="K67" s="45"/>
      <c r="L67" s="45"/>
      <c r="M67" s="45"/>
      <c r="N67" s="44"/>
      <c r="O67" s="44"/>
      <c r="P67" s="44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A2" sqref="A2:P68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63</v>
      </c>
      <c r="P1" s="19" t="s">
        <v>15</v>
      </c>
    </row>
    <row r="2" spans="1:16" ht="15"/>
    <row r="3" spans="1:16" ht="15"/>
    <row r="4" spans="1:16" ht="15"/>
    <row r="5" spans="1:16" ht="15"/>
    <row r="6" spans="1:16" ht="15"/>
    <row r="7" spans="1:16" ht="15"/>
    <row r="8" spans="1:16" ht="15"/>
    <row r="9" spans="1:16" ht="15"/>
    <row r="10" spans="1:16" ht="15"/>
    <row r="11" spans="1:16" ht="15"/>
    <row r="12" spans="1:16" ht="15"/>
    <row r="13" spans="1:16" ht="15"/>
    <row r="14" spans="1:16" ht="15"/>
    <row r="15" spans="1:16" ht="15"/>
    <row r="16" spans="1:16" ht="15"/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  <row r="30" ht="15"/>
    <row r="31" ht="15"/>
    <row r="32" ht="15"/>
    <row r="33" ht="15"/>
    <row r="34" ht="15"/>
    <row r="35" ht="15"/>
    <row r="36" ht="15"/>
    <row r="37" ht="15"/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  <row r="49" ht="15"/>
    <row r="50" ht="15"/>
    <row r="51" ht="15"/>
    <row r="52" ht="15"/>
    <row r="53" ht="15"/>
    <row r="54" ht="15"/>
    <row r="55" ht="15"/>
    <row r="56" ht="15"/>
    <row r="57" ht="15"/>
    <row r="58" ht="15"/>
    <row r="59" ht="15"/>
    <row r="60" ht="15"/>
    <row r="61" ht="15"/>
    <row r="62" ht="15"/>
    <row r="63" ht="15"/>
    <row r="64" ht="15"/>
    <row r="65" ht="15"/>
    <row r="66" ht="15"/>
    <row r="67" ht="15"/>
    <row r="68" ht="15"/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J3" sqref="J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25" bestFit="1" customWidth="1"/>
    <col min="14" max="14" width="17.28515625" bestFit="1" customWidth="1"/>
    <col min="15" max="15" width="14.28515625" customWidth="1"/>
  </cols>
  <sheetData>
    <row r="1" spans="1:16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8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64</v>
      </c>
      <c r="P1" s="27" t="s">
        <v>15</v>
      </c>
    </row>
    <row r="2" spans="1:16">
      <c r="A2">
        <f>EST_OLD!A2</f>
        <v>0</v>
      </c>
      <c r="B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0</v>
      </c>
      <c r="D2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0</v>
      </c>
      <c r="E2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0</v>
      </c>
      <c r="F2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0</v>
      </c>
      <c r="G2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0</v>
      </c>
      <c r="H2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/>
      </c>
      <c r="J2" s="15">
        <f>MOD(EST_OLD!J2+TIME(12,0,0),1)</f>
        <v>0.5</v>
      </c>
      <c r="K2" s="15">
        <f>MOD(EST_OLD!K2+TIME(12,0,0),1)</f>
        <v>0.5</v>
      </c>
      <c r="L2" s="15">
        <f>MOD(EST_OLD!L2+TIME(12,0,0),1)</f>
        <v>0.5</v>
      </c>
      <c r="M2" s="15">
        <f>MOD(EST_OLD!M2+TIME(12,0,0),1)</f>
        <v>0.5</v>
      </c>
      <c r="N2">
        <f>EST_OLD!N2</f>
        <v>0</v>
      </c>
      <c r="P2" t="e">
        <f>IF(
TIMEVALUE(LEFT(O2,FIND("-",O2)-1))&gt;=12/24,
0,
1
)</f>
        <v>#VALUE!</v>
      </c>
    </row>
    <row r="3" spans="1:16">
      <c r="A3">
        <f>EST_OLD!A3</f>
        <v>0</v>
      </c>
      <c r="B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</v>
      </c>
      <c r="D3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</v>
      </c>
      <c r="E3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</v>
      </c>
      <c r="F3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0</v>
      </c>
      <c r="G3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0</v>
      </c>
      <c r="H3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0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/>
      </c>
      <c r="J3" s="15">
        <f>MOD(EST_OLD!J3+TIME(12,0,0),1)</f>
        <v>0.5</v>
      </c>
      <c r="K3" s="15">
        <f>MOD(EST_OLD!K3+TIME(12,0,0),1)</f>
        <v>0.5</v>
      </c>
      <c r="L3" s="15">
        <f>MOD(EST_OLD!L3+TIME(12,0,0),1)</f>
        <v>0.5</v>
      </c>
      <c r="M3" s="15">
        <f>MOD(EST_OLD!M3+TIME(12,0,0),1)</f>
        <v>0.5</v>
      </c>
      <c r="N3">
        <f>EST_OLD!N3</f>
        <v>0</v>
      </c>
      <c r="P3" t="e">
        <f t="shared" ref="P3:P65" si="2">IF(
TIMEVALUE(LEFT(O3,FIND("-",O3)-1))&gt;=12/24,
0,
1
)</f>
        <v>#VALUE!</v>
      </c>
    </row>
    <row r="4" spans="1:16">
      <c r="A4">
        <f>EST_OLD!A4</f>
        <v>0</v>
      </c>
      <c r="B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0</v>
      </c>
      <c r="D4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0</v>
      </c>
      <c r="E4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0</v>
      </c>
      <c r="F4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0</v>
      </c>
      <c r="G4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0</v>
      </c>
      <c r="H4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0</v>
      </c>
      <c r="I4" t="str">
        <f t="shared" si="1"/>
        <v/>
      </c>
      <c r="J4" s="15">
        <f>MOD(EST_OLD!J4+TIME(12,0,0),1)</f>
        <v>0.5</v>
      </c>
      <c r="K4" s="15">
        <f>MOD(EST_OLD!K4+TIME(12,0,0),1)</f>
        <v>0.5</v>
      </c>
      <c r="L4" s="15">
        <f>MOD(EST_OLD!L4+TIME(12,0,0),1)</f>
        <v>0.5</v>
      </c>
      <c r="M4" s="15">
        <f>MOD(EST_OLD!M4+TIME(12,0,0),1)</f>
        <v>0.5</v>
      </c>
      <c r="N4">
        <f>EST_OLD!N4</f>
        <v>0</v>
      </c>
      <c r="P4" t="e">
        <f t="shared" si="2"/>
        <v>#VALUE!</v>
      </c>
    </row>
    <row r="5" spans="1:16">
      <c r="A5">
        <f>EST_OLD!A5</f>
        <v>0</v>
      </c>
      <c r="B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0</v>
      </c>
      <c r="D5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0</v>
      </c>
      <c r="E5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0</v>
      </c>
      <c r="F5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0</v>
      </c>
      <c r="G5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0</v>
      </c>
      <c r="H5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0</v>
      </c>
      <c r="I5" t="str">
        <f t="shared" si="1"/>
        <v/>
      </c>
      <c r="J5" s="15">
        <f>MOD(EST_OLD!J5+TIME(12,0,0),1)</f>
        <v>0.5</v>
      </c>
      <c r="K5" s="15">
        <f>MOD(EST_OLD!K5+TIME(12,0,0),1)</f>
        <v>0.5</v>
      </c>
      <c r="L5" s="15">
        <f>MOD(EST_OLD!L5+TIME(12,0,0),1)</f>
        <v>0.5</v>
      </c>
      <c r="M5" s="15">
        <f>MOD(EST_OLD!M5+TIME(12,0,0),1)</f>
        <v>0.5</v>
      </c>
      <c r="N5">
        <f>EST_OLD!N5</f>
        <v>0</v>
      </c>
      <c r="P5" t="e">
        <f t="shared" si="2"/>
        <v>#VALUE!</v>
      </c>
    </row>
    <row r="6" spans="1:16">
      <c r="A6">
        <f>EST_OLD!A6</f>
        <v>0</v>
      </c>
      <c r="B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0</v>
      </c>
      <c r="D6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0</v>
      </c>
      <c r="E6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0</v>
      </c>
      <c r="F6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0</v>
      </c>
      <c r="G6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0</v>
      </c>
      <c r="H6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"&amp;TEXT(MOD(TIMEVALUE(_xlfn.TEXTAFTER(_xlpm.s,"-"))+0.5,1),"hh:mm"))),IF(EST_OLD!$P6=1,EST!#REF!,EST_OLD!H6))</f>
        <v>0</v>
      </c>
      <c r="I6" t="str">
        <f t="shared" si="1"/>
        <v/>
      </c>
      <c r="J6" s="15">
        <f>MOD(EST_OLD!J6+TIME(12,0,0),1)</f>
        <v>0.5</v>
      </c>
      <c r="K6" s="15">
        <f>MOD(EST_OLD!K6+TIME(12,0,0),1)</f>
        <v>0.5</v>
      </c>
      <c r="L6" s="15">
        <f>MOD(EST_OLD!L6+TIME(12,0,0),1)</f>
        <v>0.5</v>
      </c>
      <c r="M6" s="15">
        <f>MOD(EST_OLD!M6+TIME(12,0,0),1)</f>
        <v>0.5</v>
      </c>
      <c r="N6">
        <f>EST_OLD!N6</f>
        <v>0</v>
      </c>
      <c r="P6" t="e">
        <f t="shared" si="2"/>
        <v>#VALUE!</v>
      </c>
    </row>
    <row r="7" spans="1:16">
      <c r="A7">
        <f>EST_OLD!A7</f>
        <v>0</v>
      </c>
      <c r="B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7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0</v>
      </c>
      <c r="D7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0</v>
      </c>
      <c r="E7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0</v>
      </c>
      <c r="F7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0</v>
      </c>
      <c r="G7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0</v>
      </c>
      <c r="H7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"&amp;TEXT(MOD(TIMEVALUE(_xlfn.TEXTAFTER(_xlpm.s,"-"))+0.5,1),"hh:mm"))),IF(EST_OLD!$P7=1,EST!#REF!,EST_OLD!H7))</f>
        <v>0</v>
      </c>
      <c r="I7" t="str">
        <f t="shared" si="1"/>
        <v/>
      </c>
      <c r="J7" s="15">
        <f>MOD(EST_OLD!J7+TIME(12,0,0),1)</f>
        <v>0.5</v>
      </c>
      <c r="K7" s="15">
        <f>MOD(EST_OLD!K7+TIME(12,0,0),1)</f>
        <v>0.5</v>
      </c>
      <c r="L7" s="15">
        <f>MOD(EST_OLD!L7+TIME(12,0,0),1)</f>
        <v>0.5</v>
      </c>
      <c r="M7" s="15">
        <f>MOD(EST_OLD!M7+TIME(12,0,0),1)</f>
        <v>0.5</v>
      </c>
      <c r="N7">
        <f>EST_OLD!N7</f>
        <v>0</v>
      </c>
      <c r="P7" t="e">
        <f t="shared" si="2"/>
        <v>#VALUE!</v>
      </c>
    </row>
    <row r="8" spans="1:16">
      <c r="A8">
        <f>EST_OLD!A8</f>
        <v>0</v>
      </c>
      <c r="B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8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0</v>
      </c>
      <c r="D8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0</v>
      </c>
      <c r="E8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0</v>
      </c>
      <c r="F8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0</v>
      </c>
      <c r="G8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0</v>
      </c>
      <c r="H8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"&amp;TEXT(MOD(TIMEVALUE(_xlfn.TEXTAFTER(_xlpm.s,"-"))+0.5,1),"hh:mm"))),IF(EST_OLD!$P8=1,EST!G6,EST_OLD!H8))</f>
        <v>0</v>
      </c>
      <c r="I8" t="str">
        <f t="shared" si="1"/>
        <v/>
      </c>
      <c r="J8" s="15">
        <f>MOD(EST_OLD!J8+TIME(12,0,0),1)</f>
        <v>0.5</v>
      </c>
      <c r="K8" s="15">
        <f>MOD(EST_OLD!K8+TIME(12,0,0),1)</f>
        <v>0.5</v>
      </c>
      <c r="L8" s="15">
        <f>MOD(EST_OLD!L8+TIME(12,0,0),1)</f>
        <v>0.5</v>
      </c>
      <c r="M8" s="15">
        <f>MOD(EST_OLD!M8+TIME(12,0,0),1)</f>
        <v>0.5</v>
      </c>
      <c r="N8">
        <f>EST_OLD!N8</f>
        <v>0</v>
      </c>
      <c r="P8" t="e">
        <f t="shared" si="2"/>
        <v>#VALUE!</v>
      </c>
    </row>
    <row r="9" spans="1:16">
      <c r="A9">
        <f>EST_OLD!A9</f>
        <v>0</v>
      </c>
      <c r="B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9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0</v>
      </c>
      <c r="D9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0</v>
      </c>
      <c r="E9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0</v>
      </c>
      <c r="F9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0</v>
      </c>
      <c r="G9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0</v>
      </c>
      <c r="H9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"&amp;TEXT(MOD(TIMEVALUE(_xlfn.TEXTAFTER(_xlpm.s,"-"))+0.5,1),"hh:mm"))),IF(EST_OLD!$P9=1,EST!G7,EST_OLD!H9))</f>
        <v>0</v>
      </c>
      <c r="I9" t="str">
        <f t="shared" si="1"/>
        <v/>
      </c>
      <c r="J9" s="15">
        <f>MOD(EST_OLD!J9+TIME(12,0,0),1)</f>
        <v>0.5</v>
      </c>
      <c r="K9" s="15">
        <f>MOD(EST_OLD!K9+TIME(12,0,0),1)</f>
        <v>0.5</v>
      </c>
      <c r="L9" s="15">
        <f>MOD(EST_OLD!L9+TIME(12,0,0),1)</f>
        <v>0.5</v>
      </c>
      <c r="M9" s="15">
        <f>MOD(EST_OLD!M9+TIME(12,0,0),1)</f>
        <v>0.5</v>
      </c>
      <c r="N9">
        <f>EST_OLD!N9</f>
        <v>0</v>
      </c>
      <c r="P9" t="e">
        <f t="shared" si="2"/>
        <v>#VALUE!</v>
      </c>
    </row>
    <row r="10" spans="1:16">
      <c r="A10">
        <f>EST_OLD!A10</f>
        <v>0</v>
      </c>
      <c r="B1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0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0</v>
      </c>
      <c r="D10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0</v>
      </c>
      <c r="E10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0</v>
      </c>
      <c r="F10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0</v>
      </c>
      <c r="G10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0</v>
      </c>
      <c r="H10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"&amp;TEXT(MOD(TIMEVALUE(_xlfn.TEXTAFTER(_xlpm.s,"-"))+0.5,1),"hh:mm"))),IF(EST_OLD!$P10=1,EST!G8,EST_OLD!H10))</f>
        <v>0</v>
      </c>
      <c r="I10" t="str">
        <f t="shared" si="1"/>
        <v/>
      </c>
      <c r="J10" s="15">
        <f>MOD(EST_OLD!J10+TIME(12,0,0),1)</f>
        <v>0.5</v>
      </c>
      <c r="K10" s="15">
        <f>MOD(EST_OLD!K10+TIME(12,0,0),1)</f>
        <v>0.5</v>
      </c>
      <c r="L10" s="15">
        <f>MOD(EST_OLD!L10+TIME(12,0,0),1)</f>
        <v>0.5</v>
      </c>
      <c r="M10" s="15">
        <f>MOD(EST_OLD!M10+TIME(12,0,0),1)</f>
        <v>0.5</v>
      </c>
      <c r="N10">
        <f>EST_OLD!N10</f>
        <v>0</v>
      </c>
      <c r="P10" t="e">
        <f t="shared" si="2"/>
        <v>#VALUE!</v>
      </c>
    </row>
    <row r="11" spans="1:16">
      <c r="A11">
        <f>EST_OLD!A11</f>
        <v>0</v>
      </c>
      <c r="B1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1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0</v>
      </c>
      <c r="D11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0</v>
      </c>
      <c r="E11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0</v>
      </c>
      <c r="F11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0</v>
      </c>
      <c r="G11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0</v>
      </c>
      <c r="H11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"&amp;TEXT(MOD(TIMEVALUE(_xlfn.TEXTAFTER(_xlpm.s,"-"))+0.5,1),"hh:mm"))),IF(EST_OLD!$P11=1,EST!G9,EST_OLD!H11))</f>
        <v>0</v>
      </c>
      <c r="I11" t="str">
        <f t="shared" si="1"/>
        <v/>
      </c>
      <c r="J11" s="15">
        <f>MOD(EST_OLD!J11+TIME(12,0,0),1)</f>
        <v>0.5</v>
      </c>
      <c r="K11" s="15">
        <f>MOD(EST_OLD!K11+TIME(12,0,0),1)</f>
        <v>0.5</v>
      </c>
      <c r="L11" s="15">
        <f>MOD(EST_OLD!L11+TIME(12,0,0),1)</f>
        <v>0.5</v>
      </c>
      <c r="M11" s="15">
        <f>MOD(EST_OLD!M11+TIME(12,0,0),1)</f>
        <v>0.5</v>
      </c>
      <c r="N11">
        <f>EST_OLD!N11</f>
        <v>0</v>
      </c>
      <c r="P11" t="e">
        <f t="shared" si="2"/>
        <v>#VALUE!</v>
      </c>
    </row>
    <row r="12" spans="1:16">
      <c r="A12">
        <f>EST_OLD!A12</f>
        <v>0</v>
      </c>
      <c r="B1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2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0</v>
      </c>
      <c r="D12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0</v>
      </c>
      <c r="E12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0</v>
      </c>
      <c r="F12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0</v>
      </c>
      <c r="G12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0</v>
      </c>
      <c r="H12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"&amp;TEXT(MOD(TIMEVALUE(_xlfn.TEXTAFTER(_xlpm.s,"-"))+0.5,1),"hh:mm"))),IF(EST_OLD!$P12=1,EST!#REF!,EST_OLD!H12))</f>
        <v>0</v>
      </c>
      <c r="I12" t="str">
        <f t="shared" si="1"/>
        <v/>
      </c>
      <c r="J12" s="15">
        <f>MOD(EST_OLD!J12+TIME(12,0,0),1)</f>
        <v>0.5</v>
      </c>
      <c r="K12" s="15">
        <f>MOD(EST_OLD!K12+TIME(12,0,0),1)</f>
        <v>0.5</v>
      </c>
      <c r="L12" s="15">
        <f>MOD(EST_OLD!L12+TIME(12,0,0),1)</f>
        <v>0.5</v>
      </c>
      <c r="M12" s="15">
        <f>MOD(EST_OLD!M12+TIME(12,0,0),1)</f>
        <v>0.5</v>
      </c>
      <c r="N12">
        <f>EST_OLD!N12</f>
        <v>0</v>
      </c>
      <c r="P12" t="e">
        <f t="shared" si="2"/>
        <v>#VALUE!</v>
      </c>
    </row>
    <row r="13" spans="1:16">
      <c r="A13">
        <f>EST_OLD!A13</f>
        <v>0</v>
      </c>
      <c r="B1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3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0</v>
      </c>
      <c r="D13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0</v>
      </c>
      <c r="E13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0</v>
      </c>
      <c r="F13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0</v>
      </c>
      <c r="G13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0</v>
      </c>
      <c r="H13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"&amp;TEXT(MOD(TIMEVALUE(_xlfn.TEXTAFTER(_xlpm.s,"-"))+0.5,1),"hh:mm"))),IF(EST_OLD!$P13=1,EST!G10,EST_OLD!H13))</f>
        <v>0</v>
      </c>
      <c r="I13" t="str">
        <f t="shared" si="1"/>
        <v/>
      </c>
      <c r="J13" s="15">
        <f>MOD(EST_OLD!J13+TIME(12,0,0),1)</f>
        <v>0.5</v>
      </c>
      <c r="K13" s="15">
        <f>MOD(EST_OLD!K13+TIME(12,0,0),1)</f>
        <v>0.5</v>
      </c>
      <c r="L13" s="15">
        <f>MOD(EST_OLD!L13+TIME(12,0,0),1)</f>
        <v>0.5</v>
      </c>
      <c r="M13" s="15">
        <f>MOD(EST_OLD!M13+TIME(12,0,0),1)</f>
        <v>0.5</v>
      </c>
      <c r="N13">
        <f>EST_OLD!N13</f>
        <v>0</v>
      </c>
      <c r="P13" t="e">
        <f t="shared" si="2"/>
        <v>#VALUE!</v>
      </c>
    </row>
    <row r="14" spans="1:16">
      <c r="A14">
        <f>EST_OLD!A14</f>
        <v>0</v>
      </c>
      <c r="B1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4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0</v>
      </c>
      <c r="D14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0</v>
      </c>
      <c r="E14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0</v>
      </c>
      <c r="F14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0</v>
      </c>
      <c r="G14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0</v>
      </c>
      <c r="H14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"&amp;TEXT(MOD(TIMEVALUE(_xlfn.TEXTAFTER(_xlpm.s,"-"))+0.5,1),"hh:mm"))),IF(EST_OLD!$P14=1,EST!#REF!,EST_OLD!H14))</f>
        <v>0</v>
      </c>
      <c r="I14" t="str">
        <f t="shared" si="1"/>
        <v/>
      </c>
      <c r="J14" s="15">
        <f>MOD(EST_OLD!J14+TIME(12,0,0),1)</f>
        <v>0.5</v>
      </c>
      <c r="K14" s="15">
        <f>MOD(EST_OLD!K14+TIME(12,0,0),1)</f>
        <v>0.5</v>
      </c>
      <c r="L14" s="15">
        <f>MOD(EST_OLD!L14+TIME(12,0,0),1)</f>
        <v>0.5</v>
      </c>
      <c r="M14" s="15">
        <f>MOD(EST_OLD!M14+TIME(12,0,0),1)</f>
        <v>0.5</v>
      </c>
      <c r="N14">
        <f>EST_OLD!N14</f>
        <v>0</v>
      </c>
      <c r="P14" t="e">
        <f t="shared" si="2"/>
        <v>#VALUE!</v>
      </c>
    </row>
    <row r="15" spans="1:16">
      <c r="A15">
        <f>EST_OLD!A15</f>
        <v>0</v>
      </c>
      <c r="B1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5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0</v>
      </c>
      <c r="D15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0</v>
      </c>
      <c r="E15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0</v>
      </c>
      <c r="F15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0</v>
      </c>
      <c r="G15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0</v>
      </c>
      <c r="H15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"&amp;TEXT(MOD(TIMEVALUE(_xlfn.TEXTAFTER(_xlpm.s,"-"))+0.5,1),"hh:mm"))),IF(EST_OLD!$P15=1,EST!G11,EST_OLD!H15))</f>
        <v>0</v>
      </c>
      <c r="I15" t="str">
        <f t="shared" si="1"/>
        <v/>
      </c>
      <c r="J15" s="15">
        <f>MOD(EST_OLD!J15+TIME(12,0,0),1)</f>
        <v>0.5</v>
      </c>
      <c r="K15" s="15">
        <f>MOD(EST_OLD!K15+TIME(12,0,0),1)</f>
        <v>0.5</v>
      </c>
      <c r="L15" s="15">
        <f>MOD(EST_OLD!L15+TIME(12,0,0),1)</f>
        <v>0.5</v>
      </c>
      <c r="M15" s="15">
        <f>MOD(EST_OLD!M15+TIME(12,0,0),1)</f>
        <v>0.5</v>
      </c>
      <c r="N15">
        <f>EST_OLD!N15</f>
        <v>0</v>
      </c>
      <c r="P15" t="e">
        <f t="shared" si="2"/>
        <v>#VALUE!</v>
      </c>
    </row>
    <row r="16" spans="1:16">
      <c r="A16">
        <f>EST_OLD!A16</f>
        <v>0</v>
      </c>
      <c r="B1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6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</v>
      </c>
      <c r="D16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</v>
      </c>
      <c r="E16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</v>
      </c>
      <c r="F16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0</v>
      </c>
      <c r="G16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0</v>
      </c>
      <c r="H16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"&amp;TEXT(MOD(TIMEVALUE(_xlfn.TEXTAFTER(_xlpm.s,"-"))+0.5,1),"hh:mm"))),IF(EST_OLD!$P16=1,EST!G12,EST_OLD!H16))</f>
        <v>0</v>
      </c>
      <c r="I16" t="str">
        <f t="shared" si="1"/>
        <v/>
      </c>
      <c r="J16" s="15">
        <f>MOD(EST_OLD!J16+TIME(12,0,0),1)</f>
        <v>0.5</v>
      </c>
      <c r="K16" s="15">
        <f>MOD(EST_OLD!K16+TIME(12,0,0),1)</f>
        <v>0.5</v>
      </c>
      <c r="L16" s="15">
        <f>MOD(EST_OLD!L16+TIME(12,0,0),1)</f>
        <v>0.5</v>
      </c>
      <c r="M16" s="15">
        <f>MOD(EST_OLD!M16+TIME(12,0,0),1)</f>
        <v>0.5</v>
      </c>
      <c r="N16">
        <f>EST_OLD!N16</f>
        <v>0</v>
      </c>
      <c r="P16" t="e">
        <f t="shared" si="2"/>
        <v>#VALUE!</v>
      </c>
    </row>
    <row r="17" spans="1:16">
      <c r="A17">
        <f>EST_OLD!A17</f>
        <v>0</v>
      </c>
      <c r="B1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7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0</v>
      </c>
      <c r="D17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0</v>
      </c>
      <c r="E17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0</v>
      </c>
      <c r="F17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0</v>
      </c>
      <c r="G17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0</v>
      </c>
      <c r="H17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"&amp;TEXT(MOD(TIMEVALUE(_xlfn.TEXTAFTER(_xlpm.s,"-"))+0.5,1),"hh:mm"))),IF(EST_OLD!$P17=1,EST!G13,EST_OLD!H17))</f>
        <v>0</v>
      </c>
      <c r="I17" t="str">
        <f t="shared" si="1"/>
        <v/>
      </c>
      <c r="J17" s="15">
        <f>MOD(EST_OLD!J17+TIME(12,0,0),1)</f>
        <v>0.5</v>
      </c>
      <c r="K17" s="15">
        <f>MOD(EST_OLD!K17+TIME(12,0,0),1)</f>
        <v>0.5</v>
      </c>
      <c r="L17" s="15">
        <f>MOD(EST_OLD!L17+TIME(12,0,0),1)</f>
        <v>0.5</v>
      </c>
      <c r="M17" s="15">
        <f>MOD(EST_OLD!M17+TIME(12,0,0),1)</f>
        <v>0.5</v>
      </c>
      <c r="N17">
        <f>EST_OLD!N17</f>
        <v>0</v>
      </c>
      <c r="P17" t="e">
        <f t="shared" si="2"/>
        <v>#VALUE!</v>
      </c>
    </row>
    <row r="18" spans="1:16">
      <c r="A18">
        <f>EST_OLD!A18</f>
        <v>0</v>
      </c>
      <c r="B1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8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0</v>
      </c>
      <c r="D18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0</v>
      </c>
      <c r="E18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0</v>
      </c>
      <c r="F18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0</v>
      </c>
      <c r="G18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0</v>
      </c>
      <c r="H18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"&amp;TEXT(MOD(TIMEVALUE(_xlfn.TEXTAFTER(_xlpm.s,"-"))+0.5,1),"hh:mm"))),IF(EST_OLD!$P18=1,EST!G14,EST_OLD!H18))</f>
        <v>0</v>
      </c>
      <c r="I18" t="str">
        <f t="shared" si="1"/>
        <v/>
      </c>
      <c r="J18" s="15">
        <f>MOD(EST_OLD!J18+TIME(12,0,0),1)</f>
        <v>0.5</v>
      </c>
      <c r="K18" s="15">
        <f>MOD(EST_OLD!K18+TIME(12,0,0),1)</f>
        <v>0.5</v>
      </c>
      <c r="L18" s="15">
        <f>MOD(EST_OLD!L18+TIME(12,0,0),1)</f>
        <v>0.5</v>
      </c>
      <c r="M18" s="15">
        <f>MOD(EST_OLD!M18+TIME(12,0,0),1)</f>
        <v>0.5</v>
      </c>
      <c r="N18">
        <f>EST_OLD!N18</f>
        <v>0</v>
      </c>
      <c r="P18" t="e">
        <f t="shared" si="2"/>
        <v>#VALUE!</v>
      </c>
    </row>
    <row r="19" spans="1:16">
      <c r="A19">
        <f>EST_OLD!A19</f>
        <v>0</v>
      </c>
      <c r="B1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19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0</v>
      </c>
      <c r="D19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0</v>
      </c>
      <c r="E19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0</v>
      </c>
      <c r="F19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0</v>
      </c>
      <c r="G19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0</v>
      </c>
      <c r="H19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"&amp;TEXT(MOD(TIMEVALUE(_xlfn.TEXTAFTER(_xlpm.s,"-"))+0.5,1),"hh:mm"))),IF(EST_OLD!$P19=1,EST!G15,EST_OLD!H19))</f>
        <v>0</v>
      </c>
      <c r="I19" t="str">
        <f t="shared" si="1"/>
        <v/>
      </c>
      <c r="J19" s="15">
        <f>MOD(EST_OLD!J19+TIME(12,0,0),1)</f>
        <v>0.5</v>
      </c>
      <c r="K19" s="15">
        <f>MOD(EST_OLD!K19+TIME(12,0,0),1)</f>
        <v>0.5</v>
      </c>
      <c r="L19" s="15">
        <f>MOD(EST_OLD!L19+TIME(12,0,0),1)</f>
        <v>0.5</v>
      </c>
      <c r="M19" s="15">
        <f>MOD(EST_OLD!M19+TIME(12,0,0),1)</f>
        <v>0.5</v>
      </c>
      <c r="N19">
        <f>EST_OLD!N19</f>
        <v>0</v>
      </c>
      <c r="P19" t="e">
        <f t="shared" si="2"/>
        <v>#VALUE!</v>
      </c>
    </row>
    <row r="20" spans="1:16">
      <c r="A20">
        <f>EST_OLD!A20</f>
        <v>0</v>
      </c>
      <c r="B2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0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0</v>
      </c>
      <c r="D20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0</v>
      </c>
      <c r="E20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0</v>
      </c>
      <c r="F20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0</v>
      </c>
      <c r="G20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0</v>
      </c>
      <c r="H20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"&amp;TEXT(MOD(TIMEVALUE(_xlfn.TEXTAFTER(_xlpm.s,"-"))+0.5,1),"hh:mm"))),IF(EST_OLD!$P20=1,EST!G16,EST_OLD!H20))</f>
        <v>0</v>
      </c>
      <c r="I20" t="str">
        <f t="shared" si="1"/>
        <v/>
      </c>
      <c r="J20" s="15">
        <f>MOD(EST_OLD!J20+TIME(12,0,0),1)</f>
        <v>0.5</v>
      </c>
      <c r="K20" s="15">
        <f>MOD(EST_OLD!K20+TIME(12,0,0),1)</f>
        <v>0.5</v>
      </c>
      <c r="L20" s="15">
        <f>MOD(EST_OLD!L20+TIME(12,0,0),1)</f>
        <v>0.5</v>
      </c>
      <c r="M20" s="15">
        <f>MOD(EST_OLD!M20+TIME(12,0,0),1)</f>
        <v>0.5</v>
      </c>
      <c r="N20">
        <f>EST_OLD!N20</f>
        <v>0</v>
      </c>
      <c r="P20" t="e">
        <f t="shared" si="2"/>
        <v>#VALUE!</v>
      </c>
    </row>
    <row r="21" spans="1:16">
      <c r="A21">
        <f>EST_OLD!A21</f>
        <v>0</v>
      </c>
      <c r="B2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1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0</v>
      </c>
      <c r="D21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0</v>
      </c>
      <c r="E21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0</v>
      </c>
      <c r="F21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0</v>
      </c>
      <c r="G21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0</v>
      </c>
      <c r="H21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"&amp;TEXT(MOD(TIMEVALUE(_xlfn.TEXTAFTER(_xlpm.s,"-"))+0.5,1),"hh:mm"))),IF(EST_OLD!$P21=1,EST!G17,EST_OLD!H21))</f>
        <v>0</v>
      </c>
      <c r="I21" t="str">
        <f t="shared" si="1"/>
        <v/>
      </c>
      <c r="J21" s="15">
        <f>MOD(EST_OLD!J21+TIME(12,0,0),1)</f>
        <v>0.5</v>
      </c>
      <c r="K21" s="15">
        <f>MOD(EST_OLD!K21+TIME(12,0,0),1)</f>
        <v>0.5</v>
      </c>
      <c r="L21" s="15">
        <f>MOD(EST_OLD!L21+TIME(12,0,0),1)</f>
        <v>0.5</v>
      </c>
      <c r="M21" s="15">
        <f>MOD(EST_OLD!M21+TIME(12,0,0),1)</f>
        <v>0.5</v>
      </c>
      <c r="N21">
        <f>EST_OLD!N21</f>
        <v>0</v>
      </c>
      <c r="P21" t="e">
        <f t="shared" si="2"/>
        <v>#VALUE!</v>
      </c>
    </row>
    <row r="22" spans="1:16">
      <c r="A22">
        <f>EST_OLD!A22</f>
        <v>0</v>
      </c>
      <c r="B2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2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0</v>
      </c>
      <c r="D22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0</v>
      </c>
      <c r="E22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0</v>
      </c>
      <c r="F22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0</v>
      </c>
      <c r="G22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0</v>
      </c>
      <c r="H22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"&amp;TEXT(MOD(TIMEVALUE(_xlfn.TEXTAFTER(_xlpm.s,"-"))+0.5,1),"hh:mm"))),IF(EST_OLD!$P22=1,EST!G18,EST_OLD!H22))</f>
        <v>0</v>
      </c>
      <c r="I22" t="str">
        <f t="shared" si="1"/>
        <v/>
      </c>
      <c r="J22" s="15">
        <f>MOD(EST_OLD!J22+TIME(12,0,0),1)</f>
        <v>0.5</v>
      </c>
      <c r="K22" s="15">
        <f>MOD(EST_OLD!K22+TIME(12,0,0),1)</f>
        <v>0.5</v>
      </c>
      <c r="L22" s="15">
        <f>MOD(EST_OLD!L22+TIME(12,0,0),1)</f>
        <v>0.5</v>
      </c>
      <c r="M22" s="15">
        <f>MOD(EST_OLD!M22+TIME(12,0,0),1)</f>
        <v>0.5</v>
      </c>
      <c r="N22">
        <f>EST_OLD!N22</f>
        <v>0</v>
      </c>
      <c r="P22" t="e">
        <f t="shared" si="2"/>
        <v>#VALUE!</v>
      </c>
    </row>
    <row r="23" spans="1:16">
      <c r="A23">
        <f>EST_OLD!A23</f>
        <v>0</v>
      </c>
      <c r="B2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3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0</v>
      </c>
      <c r="D23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0</v>
      </c>
      <c r="E23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0</v>
      </c>
      <c r="F23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0</v>
      </c>
      <c r="G23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0</v>
      </c>
      <c r="H23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"&amp;TEXT(MOD(TIMEVALUE(_xlfn.TEXTAFTER(_xlpm.s,"-"))+0.5,1),"hh:mm"))),IF(EST_OLD!$P23=1,EST!G19,EST_OLD!H23))</f>
        <v>0</v>
      </c>
      <c r="I23" t="str">
        <f t="shared" si="1"/>
        <v/>
      </c>
      <c r="J23" s="15">
        <f>MOD(EST_OLD!J23+TIME(12,0,0),1)</f>
        <v>0.5</v>
      </c>
      <c r="K23" s="15">
        <f>MOD(EST_OLD!K23+TIME(12,0,0),1)</f>
        <v>0.5</v>
      </c>
      <c r="L23" s="15">
        <f>MOD(EST_OLD!L23+TIME(12,0,0),1)</f>
        <v>0.5</v>
      </c>
      <c r="M23" s="15">
        <f>MOD(EST_OLD!M23+TIME(12,0,0),1)</f>
        <v>0.5</v>
      </c>
      <c r="N23">
        <f>EST_OLD!N23</f>
        <v>0</v>
      </c>
      <c r="P23" t="e">
        <f t="shared" si="2"/>
        <v>#VALUE!</v>
      </c>
    </row>
    <row r="24" spans="1:16">
      <c r="A24">
        <f>EST_OLD!A24</f>
        <v>0</v>
      </c>
      <c r="B2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4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0</v>
      </c>
      <c r="D24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0</v>
      </c>
      <c r="E24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0</v>
      </c>
      <c r="F24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</v>
      </c>
      <c r="G24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</v>
      </c>
      <c r="H24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"&amp;TEXT(MOD(TIMEVALUE(_xlfn.TEXTAFTER(_xlpm.s,"-"))+0.5,1),"hh:mm"))),IF(EST_OLD!$P24=1,EST!G21,EST_OLD!H24))</f>
        <v>0</v>
      </c>
      <c r="I24" t="str">
        <f t="shared" si="1"/>
        <v/>
      </c>
      <c r="J24" s="15">
        <f>MOD(EST_OLD!J24+TIME(12,0,0),1)</f>
        <v>0.5</v>
      </c>
      <c r="K24" s="15">
        <f>MOD(EST_OLD!K24+TIME(12,0,0),1)</f>
        <v>0.5</v>
      </c>
      <c r="L24" s="15">
        <f>MOD(EST_OLD!L24+TIME(12,0,0),1)</f>
        <v>0.5</v>
      </c>
      <c r="M24" s="15">
        <f>MOD(EST_OLD!M24+TIME(12,0,0),1)</f>
        <v>0.5</v>
      </c>
      <c r="N24">
        <f>EST_OLD!N24</f>
        <v>0</v>
      </c>
      <c r="P24" t="e">
        <f t="shared" si="2"/>
        <v>#VALUE!</v>
      </c>
    </row>
    <row r="25" spans="1:16">
      <c r="A25">
        <f>EST_OLD!A25</f>
        <v>0</v>
      </c>
      <c r="B2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5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</v>
      </c>
      <c r="D25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</v>
      </c>
      <c r="E25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0</v>
      </c>
      <c r="F25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0</v>
      </c>
      <c r="G25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</v>
      </c>
      <c r="H25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"&amp;TEXT(MOD(TIMEVALUE(_xlfn.TEXTAFTER(_xlpm.s,"-"))+0.5,1),"hh:mm"))),IF(EST_OLD!$P25=1,EST!G22,EST_OLD!H25))</f>
        <v>0</v>
      </c>
      <c r="I25" t="str">
        <f t="shared" si="1"/>
        <v/>
      </c>
      <c r="J25" s="15">
        <f>MOD(EST_OLD!J25+TIME(12,0,0),1)</f>
        <v>0.5</v>
      </c>
      <c r="K25" s="15">
        <f>MOD(EST_OLD!K25+TIME(12,0,0),1)</f>
        <v>0.5</v>
      </c>
      <c r="L25" s="15">
        <f>MOD(EST_OLD!L25+TIME(12,0,0),1)</f>
        <v>0.5</v>
      </c>
      <c r="M25" s="15">
        <f>MOD(EST_OLD!M25+TIME(12,0,0),1)</f>
        <v>0.5</v>
      </c>
      <c r="N25">
        <f>EST_OLD!N25</f>
        <v>0</v>
      </c>
      <c r="P25" t="e">
        <f t="shared" si="2"/>
        <v>#VALUE!</v>
      </c>
    </row>
    <row r="26" spans="1:16">
      <c r="A26">
        <f>EST_OLD!A26</f>
        <v>0</v>
      </c>
      <c r="B2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6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0</v>
      </c>
      <c r="D26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0</v>
      </c>
      <c r="E26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0</v>
      </c>
      <c r="F26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0</v>
      </c>
      <c r="G26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0</v>
      </c>
      <c r="H26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"&amp;TEXT(MOD(TIMEVALUE(_xlfn.TEXTAFTER(_xlpm.s,"-"))+0.5,1),"hh:mm"))),IF(EST_OLD!$P26=1,EST!G23,EST_OLD!H26))</f>
        <v>0</v>
      </c>
      <c r="I26" t="str">
        <f t="shared" si="1"/>
        <v/>
      </c>
      <c r="J26" s="15">
        <f>MOD(EST_OLD!J26+TIME(12,0,0),1)</f>
        <v>0.5</v>
      </c>
      <c r="K26" s="15">
        <f>MOD(EST_OLD!K26+TIME(12,0,0),1)</f>
        <v>0.5</v>
      </c>
      <c r="L26" s="15">
        <f>MOD(EST_OLD!L26+TIME(12,0,0),1)</f>
        <v>0.5</v>
      </c>
      <c r="M26" s="15">
        <f>MOD(EST_OLD!M26+TIME(12,0,0),1)</f>
        <v>0.5</v>
      </c>
      <c r="N26">
        <f>EST_OLD!N26</f>
        <v>0</v>
      </c>
      <c r="P26" t="e">
        <f t="shared" si="2"/>
        <v>#VALUE!</v>
      </c>
    </row>
    <row r="27" spans="1:16">
      <c r="A27">
        <f>EST_OLD!A27</f>
        <v>0</v>
      </c>
      <c r="B2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7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0</v>
      </c>
      <c r="D27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0</v>
      </c>
      <c r="E27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0</v>
      </c>
      <c r="F27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0</v>
      </c>
      <c r="G27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0</v>
      </c>
      <c r="H27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"&amp;TEXT(MOD(TIMEVALUE(_xlfn.TEXTAFTER(_xlpm.s,"-"))+0.5,1),"hh:mm"))),IF(EST_OLD!$P27=1,EST!G24,EST_OLD!H27))</f>
        <v>0</v>
      </c>
      <c r="I27" t="str">
        <f t="shared" si="1"/>
        <v/>
      </c>
      <c r="J27" s="15">
        <f>MOD(EST_OLD!J27+TIME(12,0,0),1)</f>
        <v>0.5</v>
      </c>
      <c r="K27" s="15">
        <f>MOD(EST_OLD!K27+TIME(12,0,0),1)</f>
        <v>0.5</v>
      </c>
      <c r="L27" s="15">
        <f>MOD(EST_OLD!L27+TIME(12,0,0),1)</f>
        <v>0.5</v>
      </c>
      <c r="M27" s="15">
        <f>MOD(EST_OLD!M27+TIME(12,0,0),1)</f>
        <v>0.5</v>
      </c>
      <c r="N27">
        <f>EST_OLD!N27</f>
        <v>0</v>
      </c>
      <c r="P27" t="e">
        <f t="shared" si="2"/>
        <v>#VALUE!</v>
      </c>
    </row>
    <row r="28" spans="1:16">
      <c r="A28">
        <f>EST_OLD!A28</f>
        <v>0</v>
      </c>
      <c r="B2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8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0</v>
      </c>
      <c r="D28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0</v>
      </c>
      <c r="E28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0</v>
      </c>
      <c r="F28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0</v>
      </c>
      <c r="G28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0</v>
      </c>
      <c r="H28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"&amp;TEXT(MOD(TIMEVALUE(_xlfn.TEXTAFTER(_xlpm.s,"-"))+0.5,1),"hh:mm"))),IF(EST_OLD!$P28=1,EST!G25,EST_OLD!H28))</f>
        <v>0</v>
      </c>
      <c r="I28" t="str">
        <f t="shared" si="1"/>
        <v/>
      </c>
      <c r="J28" s="15">
        <f>MOD(EST_OLD!J28+TIME(12,0,0),1)</f>
        <v>0.5</v>
      </c>
      <c r="K28" s="15">
        <f>MOD(EST_OLD!K28+TIME(12,0,0),1)</f>
        <v>0.5</v>
      </c>
      <c r="L28" s="15">
        <f>MOD(EST_OLD!L28+TIME(12,0,0),1)</f>
        <v>0.5</v>
      </c>
      <c r="M28" s="15">
        <f>MOD(EST_OLD!M28+TIME(12,0,0),1)</f>
        <v>0.5</v>
      </c>
      <c r="N28">
        <f>EST_OLD!N28</f>
        <v>0</v>
      </c>
      <c r="P28" t="e">
        <f t="shared" si="2"/>
        <v>#VALUE!</v>
      </c>
    </row>
    <row r="29" spans="1:16">
      <c r="A29">
        <f>EST_OLD!A29</f>
        <v>0</v>
      </c>
      <c r="B2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29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0</v>
      </c>
      <c r="D29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0</v>
      </c>
      <c r="E29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0</v>
      </c>
      <c r="F29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0</v>
      </c>
      <c r="G29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0</v>
      </c>
      <c r="H29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"&amp;TEXT(MOD(TIMEVALUE(_xlfn.TEXTAFTER(_xlpm.s,"-"))+0.5,1),"hh:mm"))),IF(EST_OLD!$P29=1,EST!G26,EST_OLD!H29))</f>
        <v>0</v>
      </c>
      <c r="I29" t="str">
        <f t="shared" si="1"/>
        <v/>
      </c>
      <c r="J29" s="15">
        <f>MOD(EST_OLD!J29+TIME(12,0,0),1)</f>
        <v>0.5</v>
      </c>
      <c r="K29" s="15">
        <f>MOD(EST_OLD!K29+TIME(12,0,0),1)</f>
        <v>0.5</v>
      </c>
      <c r="L29" s="15">
        <f>MOD(EST_OLD!L29+TIME(12,0,0),1)</f>
        <v>0.5</v>
      </c>
      <c r="M29" s="15">
        <f>MOD(EST_OLD!M29+TIME(12,0,0),1)</f>
        <v>0.5</v>
      </c>
      <c r="N29">
        <f>EST_OLD!N29</f>
        <v>0</v>
      </c>
      <c r="P29" t="e">
        <f t="shared" si="2"/>
        <v>#VALUE!</v>
      </c>
    </row>
    <row r="30" spans="1:16">
      <c r="A30">
        <f>EST_OLD!A30</f>
        <v>0</v>
      </c>
      <c r="B3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0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0</v>
      </c>
      <c r="D30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0</v>
      </c>
      <c r="E30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0</v>
      </c>
      <c r="F30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0</v>
      </c>
      <c r="G30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0</v>
      </c>
      <c r="H30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"&amp;TEXT(MOD(TIMEVALUE(_xlfn.TEXTAFTER(_xlpm.s,"-"))+0.5,1),"hh:mm"))),IF(EST_OLD!$P30=1,EST!G27,EST_OLD!H30))</f>
        <v>0</v>
      </c>
      <c r="I30" t="str">
        <f t="shared" si="1"/>
        <v/>
      </c>
      <c r="J30" s="15">
        <f>MOD(EST_OLD!J30+TIME(12,0,0),1)</f>
        <v>0.5</v>
      </c>
      <c r="K30" s="15">
        <f>MOD(EST_OLD!K30+TIME(12,0,0),1)</f>
        <v>0.5</v>
      </c>
      <c r="L30" s="15">
        <f>MOD(EST_OLD!L30+TIME(12,0,0),1)</f>
        <v>0.5</v>
      </c>
      <c r="M30" s="15">
        <f>MOD(EST_OLD!M30+TIME(12,0,0),1)</f>
        <v>0.5</v>
      </c>
      <c r="N30">
        <f>EST_OLD!N30</f>
        <v>0</v>
      </c>
      <c r="P30" t="e">
        <f t="shared" si="2"/>
        <v>#VALUE!</v>
      </c>
    </row>
    <row r="31" spans="1:16">
      <c r="A31">
        <f>EST_OLD!A31</f>
        <v>0</v>
      </c>
      <c r="B3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1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0</v>
      </c>
      <c r="D31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0</v>
      </c>
      <c r="E31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0</v>
      </c>
      <c r="F31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0</v>
      </c>
      <c r="G31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0</v>
      </c>
      <c r="H31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"&amp;TEXT(MOD(TIMEVALUE(_xlfn.TEXTAFTER(_xlpm.s,"-"))+0.5,1),"hh:mm"))),IF(EST_OLD!$P31=1,EST!G28,EST_OLD!H31))</f>
        <v>0</v>
      </c>
      <c r="I31" t="str">
        <f t="shared" si="1"/>
        <v/>
      </c>
      <c r="J31" s="15">
        <f>MOD(EST_OLD!J31+TIME(12,0,0),1)</f>
        <v>0.5</v>
      </c>
      <c r="K31" s="15">
        <f>MOD(EST_OLD!K31+TIME(12,0,0),1)</f>
        <v>0.5</v>
      </c>
      <c r="L31" s="15">
        <f>MOD(EST_OLD!L31+TIME(12,0,0),1)</f>
        <v>0.5</v>
      </c>
      <c r="M31" s="15">
        <f>MOD(EST_OLD!M31+TIME(12,0,0),1)</f>
        <v>0.5</v>
      </c>
      <c r="N31">
        <f>EST_OLD!N31</f>
        <v>0</v>
      </c>
      <c r="P31" t="e">
        <f t="shared" si="2"/>
        <v>#VALUE!</v>
      </c>
    </row>
    <row r="32" spans="1:16">
      <c r="A32">
        <f>EST_OLD!A32</f>
        <v>0</v>
      </c>
      <c r="B3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2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0</v>
      </c>
      <c r="D32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0</v>
      </c>
      <c r="E32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0</v>
      </c>
      <c r="F32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0</v>
      </c>
      <c r="G32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0</v>
      </c>
      <c r="H32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"&amp;TEXT(MOD(TIMEVALUE(_xlfn.TEXTAFTER(_xlpm.s,"-"))+0.5,1),"hh:mm"))),IF(EST_OLD!$P32=1,EST!G29,EST_OLD!H32))</f>
        <v>0</v>
      </c>
      <c r="I32" t="str">
        <f t="shared" si="1"/>
        <v/>
      </c>
      <c r="J32" s="15">
        <f>MOD(EST_OLD!J32+TIME(12,0,0),1)</f>
        <v>0.5</v>
      </c>
      <c r="K32" s="15">
        <f>MOD(EST_OLD!K32+TIME(12,0,0),1)</f>
        <v>0.5</v>
      </c>
      <c r="L32" s="15">
        <f>MOD(EST_OLD!L32+TIME(12,0,0),1)</f>
        <v>0.5</v>
      </c>
      <c r="M32" s="15">
        <f>MOD(EST_OLD!M32+TIME(12,0,0),1)</f>
        <v>0.5</v>
      </c>
      <c r="N32">
        <f>EST_OLD!N32</f>
        <v>0</v>
      </c>
      <c r="P32" t="e">
        <f t="shared" si="2"/>
        <v>#VALUE!</v>
      </c>
    </row>
    <row r="33" spans="1:16">
      <c r="A33">
        <f>EST_OLD!A33</f>
        <v>0</v>
      </c>
      <c r="B3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3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</v>
      </c>
      <c r="D33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</v>
      </c>
      <c r="E33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</v>
      </c>
      <c r="F33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0</v>
      </c>
      <c r="G33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0</v>
      </c>
      <c r="H33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"&amp;TEXT(MOD(TIMEVALUE(_xlfn.TEXTAFTER(_xlpm.s,"-"))+0.5,1),"hh:mm"))),IF(EST_OLD!$P33=1,EST!G30,EST_OLD!H33))</f>
        <v>0</v>
      </c>
      <c r="I33" t="str">
        <f t="shared" si="1"/>
        <v/>
      </c>
      <c r="J33" s="15">
        <f>MOD(EST_OLD!J33+TIME(12,0,0),1)</f>
        <v>0.5</v>
      </c>
      <c r="K33" s="15">
        <f>MOD(EST_OLD!K33+TIME(12,0,0),1)</f>
        <v>0.5</v>
      </c>
      <c r="L33" s="15">
        <f>MOD(EST_OLD!L33+TIME(12,0,0),1)</f>
        <v>0.5</v>
      </c>
      <c r="M33" s="15">
        <f>MOD(EST_OLD!M33+TIME(12,0,0),1)</f>
        <v>0.5</v>
      </c>
      <c r="N33">
        <f>EST_OLD!N33</f>
        <v>0</v>
      </c>
      <c r="P33" t="e">
        <f t="shared" si="2"/>
        <v>#VALUE!</v>
      </c>
    </row>
    <row r="34" spans="1:16">
      <c r="A34">
        <f>EST_OLD!A34</f>
        <v>0</v>
      </c>
      <c r="B3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4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0</v>
      </c>
      <c r="D34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0</v>
      </c>
      <c r="E34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0</v>
      </c>
      <c r="F34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0</v>
      </c>
      <c r="G34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0</v>
      </c>
      <c r="H34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"&amp;TEXT(MOD(TIMEVALUE(_xlfn.TEXTAFTER(_xlpm.s,"-"))+0.5,1),"hh:mm"))),IF(EST_OLD!$P34=1,EST!G31,EST_OLD!H34))</f>
        <v>0</v>
      </c>
      <c r="I34" t="str">
        <f t="shared" si="1"/>
        <v/>
      </c>
      <c r="J34" s="15">
        <f>MOD(EST_OLD!J34+TIME(12,0,0),1)</f>
        <v>0.5</v>
      </c>
      <c r="K34" s="15">
        <f>MOD(EST_OLD!K34+TIME(12,0,0),1)</f>
        <v>0.5</v>
      </c>
      <c r="L34" s="15">
        <f>MOD(EST_OLD!L34+TIME(12,0,0),1)</f>
        <v>0.5</v>
      </c>
      <c r="M34" s="15">
        <f>MOD(EST_OLD!M34+TIME(12,0,0),1)</f>
        <v>0.5</v>
      </c>
      <c r="N34">
        <f>EST_OLD!N34</f>
        <v>0</v>
      </c>
      <c r="P34" t="e">
        <f t="shared" si="2"/>
        <v>#VALUE!</v>
      </c>
    </row>
    <row r="35" spans="1:16">
      <c r="A35">
        <f>EST_OLD!A35</f>
        <v>0</v>
      </c>
      <c r="B3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5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0</v>
      </c>
      <c r="D35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0</v>
      </c>
      <c r="E35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</v>
      </c>
      <c r="F35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</v>
      </c>
      <c r="G35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</v>
      </c>
      <c r="H35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"&amp;TEXT(MOD(TIMEVALUE(_xlfn.TEXTAFTER(_xlpm.s,"-"))+0.5,1),"hh:mm"))),IF(EST_OLD!$P35=1,EST!G32,EST_OLD!H35))</f>
        <v>0</v>
      </c>
      <c r="I35" t="str">
        <f t="shared" si="1"/>
        <v/>
      </c>
      <c r="J35" s="15">
        <f>MOD(EST_OLD!J35+TIME(12,0,0),1)</f>
        <v>0.5</v>
      </c>
      <c r="K35" s="15">
        <f>MOD(EST_OLD!K35+TIME(12,0,0),1)</f>
        <v>0.5</v>
      </c>
      <c r="L35" s="15">
        <f>MOD(EST_OLD!L35+TIME(12,0,0),1)</f>
        <v>0.5</v>
      </c>
      <c r="M35" s="15">
        <f>MOD(EST_OLD!M35+TIME(12,0,0),1)</f>
        <v>0.5</v>
      </c>
      <c r="N35">
        <f>EST_OLD!N35</f>
        <v>0</v>
      </c>
      <c r="P35" t="e">
        <f t="shared" si="2"/>
        <v>#VALUE!</v>
      </c>
    </row>
    <row r="36" spans="1:16">
      <c r="A36">
        <f>EST_OLD!A36</f>
        <v>0</v>
      </c>
      <c r="B3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6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0</v>
      </c>
      <c r="D36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0</v>
      </c>
      <c r="E36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0</v>
      </c>
      <c r="F36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0</v>
      </c>
      <c r="G36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0</v>
      </c>
      <c r="H36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"&amp;TEXT(MOD(TIMEVALUE(_xlfn.TEXTAFTER(_xlpm.s,"-"))+0.5,1),"hh:mm"))),IF(EST_OLD!$P36=1,EST!G33,EST_OLD!H36))</f>
        <v>0</v>
      </c>
      <c r="I36" t="str">
        <f t="shared" si="1"/>
        <v/>
      </c>
      <c r="J36" s="15">
        <f>MOD(EST_OLD!J36+TIME(12,0,0),1)</f>
        <v>0.5</v>
      </c>
      <c r="K36" s="15">
        <f>MOD(EST_OLD!K36+TIME(12,0,0),1)</f>
        <v>0.5</v>
      </c>
      <c r="L36" s="15">
        <f>MOD(EST_OLD!L36+TIME(12,0,0),1)</f>
        <v>0.5</v>
      </c>
      <c r="M36" s="15">
        <f>MOD(EST_OLD!M36+TIME(12,0,0),1)</f>
        <v>0.5</v>
      </c>
      <c r="N36">
        <f>EST_OLD!N36</f>
        <v>0</v>
      </c>
      <c r="P36" t="e">
        <f t="shared" si="2"/>
        <v>#VALUE!</v>
      </c>
    </row>
    <row r="37" spans="1:16">
      <c r="A37">
        <f>EST_OLD!A37</f>
        <v>0</v>
      </c>
      <c r="B3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7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</v>
      </c>
      <c r="D37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</v>
      </c>
      <c r="E37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0</v>
      </c>
      <c r="F37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0</v>
      </c>
      <c r="G37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0</v>
      </c>
      <c r="H37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"&amp;TEXT(MOD(TIMEVALUE(_xlfn.TEXTAFTER(_xlpm.s,"-"))+0.5,1),"hh:mm"))),IF(EST_OLD!$P37=1,EST!G34,EST_OLD!H37))</f>
        <v>0</v>
      </c>
      <c r="I37" t="str">
        <f t="shared" si="1"/>
        <v/>
      </c>
      <c r="J37" s="15">
        <f>MOD(EST_OLD!J37+TIME(12,0,0),1)</f>
        <v>0.5</v>
      </c>
      <c r="K37" s="15">
        <f>MOD(EST_OLD!K37+TIME(12,0,0),1)</f>
        <v>0.5</v>
      </c>
      <c r="L37" s="15">
        <f>MOD(EST_OLD!L37+TIME(12,0,0),1)</f>
        <v>0.5</v>
      </c>
      <c r="M37" s="15">
        <f>MOD(EST_OLD!M37+TIME(12,0,0),1)</f>
        <v>0.5</v>
      </c>
      <c r="N37">
        <f>EST_OLD!N37</f>
        <v>0</v>
      </c>
      <c r="P37" t="e">
        <f t="shared" si="2"/>
        <v>#VALUE!</v>
      </c>
    </row>
    <row r="38" spans="1:16">
      <c r="A38">
        <f>EST_OLD!A38</f>
        <v>0</v>
      </c>
      <c r="B3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8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</v>
      </c>
      <c r="D38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</v>
      </c>
      <c r="E38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</v>
      </c>
      <c r="F38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</v>
      </c>
      <c r="G38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0</v>
      </c>
      <c r="H38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"&amp;TEXT(MOD(TIMEVALUE(_xlfn.TEXTAFTER(_xlpm.s,"-"))+0.5,1),"hh:mm"))),IF(EST_OLD!$P38=1,EST!G35,EST_OLD!H38))</f>
        <v>0</v>
      </c>
      <c r="I38" t="str">
        <f t="shared" si="1"/>
        <v/>
      </c>
      <c r="J38" s="15">
        <f>MOD(EST_OLD!J38+TIME(12,0,0),1)</f>
        <v>0.5</v>
      </c>
      <c r="K38" s="15">
        <f>MOD(EST_OLD!K38+TIME(12,0,0),1)</f>
        <v>0.5</v>
      </c>
      <c r="L38" s="15">
        <f>MOD(EST_OLD!L38+TIME(12,0,0),1)</f>
        <v>0.5</v>
      </c>
      <c r="M38" s="15">
        <f>MOD(EST_OLD!M38+TIME(12,0,0),1)</f>
        <v>0.5</v>
      </c>
      <c r="N38">
        <f>EST_OLD!N38</f>
        <v>0</v>
      </c>
      <c r="P38" t="e">
        <f t="shared" si="2"/>
        <v>#VALUE!</v>
      </c>
    </row>
    <row r="39" spans="1:16">
      <c r="A39">
        <f>EST_OLD!A39</f>
        <v>0</v>
      </c>
      <c r="B3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39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0</v>
      </c>
      <c r="D39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0</v>
      </c>
      <c r="E39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0</v>
      </c>
      <c r="F39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0</v>
      </c>
      <c r="G39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0</v>
      </c>
      <c r="H39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"&amp;TEXT(MOD(TIMEVALUE(_xlfn.TEXTAFTER(_xlpm.s,"-"))+0.5,1),"hh:mm"))),IF(EST_OLD!$P39=1,EST!G36,EST_OLD!H39))</f>
        <v>0</v>
      </c>
      <c r="I39" t="str">
        <f t="shared" si="1"/>
        <v/>
      </c>
      <c r="J39" s="15">
        <f>MOD(EST_OLD!J39+TIME(12,0,0),1)</f>
        <v>0.5</v>
      </c>
      <c r="K39" s="15">
        <f>MOD(EST_OLD!K39+TIME(12,0,0),1)</f>
        <v>0.5</v>
      </c>
      <c r="L39" s="15">
        <f>MOD(EST_OLD!L39+TIME(12,0,0),1)</f>
        <v>0.5</v>
      </c>
      <c r="M39" s="15">
        <f>MOD(EST_OLD!M39+TIME(12,0,0),1)</f>
        <v>0.5</v>
      </c>
      <c r="N39">
        <f>EST_OLD!N39</f>
        <v>0</v>
      </c>
      <c r="P39" t="e">
        <f t="shared" si="2"/>
        <v>#VALUE!</v>
      </c>
    </row>
    <row r="40" spans="1:16">
      <c r="A40">
        <f>EST_OLD!A40</f>
        <v>0</v>
      </c>
      <c r="B4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0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0</v>
      </c>
      <c r="D40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0</v>
      </c>
      <c r="E40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0</v>
      </c>
      <c r="F40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0</v>
      </c>
      <c r="G40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0</v>
      </c>
      <c r="H40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"&amp;TEXT(MOD(TIMEVALUE(_xlfn.TEXTAFTER(_xlpm.s,"-"))+0.5,1),"hh:mm"))),IF(EST_OLD!$P40=1,EST!G37,EST_OLD!H40))</f>
        <v>0</v>
      </c>
      <c r="I40" t="str">
        <f t="shared" si="1"/>
        <v/>
      </c>
      <c r="J40" s="15">
        <f>MOD(EST_OLD!J40+TIME(12,0,0),1)</f>
        <v>0.5</v>
      </c>
      <c r="K40" s="15">
        <f>MOD(EST_OLD!K40+TIME(12,0,0),1)</f>
        <v>0.5</v>
      </c>
      <c r="L40" s="15">
        <f>MOD(EST_OLD!L40+TIME(12,0,0),1)</f>
        <v>0.5</v>
      </c>
      <c r="M40" s="15">
        <f>MOD(EST_OLD!M40+TIME(12,0,0),1)</f>
        <v>0.5</v>
      </c>
      <c r="N40">
        <f>EST_OLD!N40</f>
        <v>0</v>
      </c>
      <c r="P40" t="e">
        <f t="shared" si="2"/>
        <v>#VALUE!</v>
      </c>
    </row>
    <row r="41" spans="1:16">
      <c r="A41">
        <f>EST_OLD!A41</f>
        <v>0</v>
      </c>
      <c r="B4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1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</v>
      </c>
      <c r="D41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</v>
      </c>
      <c r="E41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</v>
      </c>
      <c r="F41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</v>
      </c>
      <c r="G41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0</v>
      </c>
      <c r="H41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"&amp;TEXT(MOD(TIMEVALUE(_xlfn.TEXTAFTER(_xlpm.s,"-"))+0.5,1),"hh:mm"))),IF(EST_OLD!$P41=1,EST!G38,EST_OLD!H41))</f>
        <v>0</v>
      </c>
      <c r="I41" t="str">
        <f t="shared" si="1"/>
        <v/>
      </c>
      <c r="J41" s="15">
        <f>MOD(EST_OLD!J41+TIME(12,0,0),1)</f>
        <v>0.5</v>
      </c>
      <c r="K41" s="15">
        <f>MOD(EST_OLD!K41+TIME(12,0,0),1)</f>
        <v>0.5</v>
      </c>
      <c r="L41" s="15">
        <f>MOD(EST_OLD!L41+TIME(12,0,0),1)</f>
        <v>0.5</v>
      </c>
      <c r="M41" s="15">
        <f>MOD(EST_OLD!M41+TIME(12,0,0),1)</f>
        <v>0.5</v>
      </c>
      <c r="N41">
        <f>EST_OLD!N41</f>
        <v>0</v>
      </c>
      <c r="P41" t="e">
        <f t="shared" si="2"/>
        <v>#VALUE!</v>
      </c>
    </row>
    <row r="42" spans="1:16">
      <c r="A42">
        <f>EST_OLD!A42</f>
        <v>0</v>
      </c>
      <c r="B4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2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0</v>
      </c>
      <c r="D42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0</v>
      </c>
      <c r="E42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0</v>
      </c>
      <c r="F42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0</v>
      </c>
      <c r="G42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0</v>
      </c>
      <c r="H42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"&amp;TEXT(MOD(TIMEVALUE(_xlfn.TEXTAFTER(_xlpm.s,"-"))+0.5,1),"hh:mm"))),IF(EST_OLD!$P42=1,EST!G39,EST_OLD!H42))</f>
        <v>0</v>
      </c>
      <c r="I42" t="str">
        <f t="shared" si="1"/>
        <v/>
      </c>
      <c r="J42" s="15">
        <f>MOD(EST_OLD!J42+TIME(12,0,0),1)</f>
        <v>0.5</v>
      </c>
      <c r="K42" s="15">
        <f>MOD(EST_OLD!K42+TIME(12,0,0),1)</f>
        <v>0.5</v>
      </c>
      <c r="L42" s="15">
        <f>MOD(EST_OLD!L42+TIME(12,0,0),1)</f>
        <v>0.5</v>
      </c>
      <c r="M42" s="15">
        <f>MOD(EST_OLD!M42+TIME(12,0,0),1)</f>
        <v>0.5</v>
      </c>
      <c r="N42">
        <f>EST_OLD!N42</f>
        <v>0</v>
      </c>
      <c r="P42" t="e">
        <f t="shared" si="2"/>
        <v>#VALUE!</v>
      </c>
    </row>
    <row r="43" spans="1:16">
      <c r="A43">
        <f>EST_OLD!A43</f>
        <v>0</v>
      </c>
      <c r="B4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3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0</v>
      </c>
      <c r="D43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0</v>
      </c>
      <c r="E43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0</v>
      </c>
      <c r="F43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0</v>
      </c>
      <c r="G43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0</v>
      </c>
      <c r="H43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"&amp;TEXT(MOD(TIMEVALUE(_xlfn.TEXTAFTER(_xlpm.s,"-"))+0.5,1),"hh:mm"))),IF(EST_OLD!$P43=1,EST!G40,EST_OLD!H43))</f>
        <v>0</v>
      </c>
      <c r="I43" t="str">
        <f t="shared" si="1"/>
        <v/>
      </c>
      <c r="J43" s="15">
        <f>MOD(EST_OLD!J43+TIME(12,0,0),1)</f>
        <v>0.5</v>
      </c>
      <c r="K43" s="15">
        <f>MOD(EST_OLD!K43+TIME(12,0,0),1)</f>
        <v>0.5</v>
      </c>
      <c r="L43" s="15">
        <f>MOD(EST_OLD!L43+TIME(12,0,0),1)</f>
        <v>0.5</v>
      </c>
      <c r="M43" s="15">
        <f>MOD(EST_OLD!M43+TIME(12,0,0),1)</f>
        <v>0.5</v>
      </c>
      <c r="N43">
        <f>EST_OLD!N43</f>
        <v>0</v>
      </c>
      <c r="P43" t="e">
        <f t="shared" si="2"/>
        <v>#VALUE!</v>
      </c>
    </row>
    <row r="44" spans="1:16">
      <c r="A44">
        <f>EST_OLD!A44</f>
        <v>0</v>
      </c>
      <c r="B4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4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0</v>
      </c>
      <c r="D44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0</v>
      </c>
      <c r="E44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0</v>
      </c>
      <c r="F44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0</v>
      </c>
      <c r="G44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0</v>
      </c>
      <c r="H44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"&amp;TEXT(MOD(TIMEVALUE(_xlfn.TEXTAFTER(_xlpm.s,"-"))+0.5,1),"hh:mm"))),IF(EST_OLD!$P44=1,EST!G41,EST_OLD!H44))</f>
        <v>0</v>
      </c>
      <c r="I44" t="str">
        <f t="shared" si="1"/>
        <v/>
      </c>
      <c r="J44" s="15">
        <f>MOD(EST_OLD!J44+TIME(12,0,0),1)</f>
        <v>0.5</v>
      </c>
      <c r="K44" s="15">
        <f>MOD(EST_OLD!K44+TIME(12,0,0),1)</f>
        <v>0.5</v>
      </c>
      <c r="L44" s="15">
        <f>MOD(EST_OLD!L44+TIME(12,0,0),1)</f>
        <v>0.5</v>
      </c>
      <c r="M44" s="15">
        <f>MOD(EST_OLD!M44+TIME(12,0,0),1)</f>
        <v>0.5</v>
      </c>
      <c r="N44">
        <f>EST_OLD!N44</f>
        <v>0</v>
      </c>
      <c r="P44" t="e">
        <f t="shared" si="2"/>
        <v>#VALUE!</v>
      </c>
    </row>
    <row r="45" spans="1:16">
      <c r="A45">
        <f>EST_OLD!A45</f>
        <v>0</v>
      </c>
      <c r="B4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5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0</v>
      </c>
      <c r="D45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0</v>
      </c>
      <c r="E45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0</v>
      </c>
      <c r="F45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0</v>
      </c>
      <c r="G45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0</v>
      </c>
      <c r="H45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"&amp;TEXT(MOD(TIMEVALUE(_xlfn.TEXTAFTER(_xlpm.s,"-"))+0.5,1),"hh:mm"))),IF(EST_OLD!$P45=1,EST!G42,EST_OLD!H45))</f>
        <v>0</v>
      </c>
      <c r="I45" t="str">
        <f t="shared" si="1"/>
        <v/>
      </c>
      <c r="J45" s="15">
        <f>MOD(EST_OLD!J45+TIME(12,0,0),1)</f>
        <v>0.5</v>
      </c>
      <c r="K45" s="15">
        <f>MOD(EST_OLD!K45+TIME(12,0,0),1)</f>
        <v>0.5</v>
      </c>
      <c r="L45" s="15">
        <f>MOD(EST_OLD!L45+TIME(12,0,0),1)</f>
        <v>0.5</v>
      </c>
      <c r="M45" s="15">
        <f>MOD(EST_OLD!M45+TIME(12,0,0),1)</f>
        <v>0.5</v>
      </c>
      <c r="N45">
        <f>EST_OLD!N45</f>
        <v>0</v>
      </c>
      <c r="P45" t="e">
        <f t="shared" si="2"/>
        <v>#VALUE!</v>
      </c>
    </row>
    <row r="46" spans="1:16">
      <c r="A46">
        <f>EST_OLD!A46</f>
        <v>0</v>
      </c>
      <c r="B4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6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0</v>
      </c>
      <c r="D46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0</v>
      </c>
      <c r="E46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0</v>
      </c>
      <c r="F46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0</v>
      </c>
      <c r="G46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0</v>
      </c>
      <c r="H46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"&amp;TEXT(MOD(TIMEVALUE(_xlfn.TEXTAFTER(_xlpm.s,"-"))+0.5,1),"hh:mm"))),IF(EST_OLD!$P46=1,EST!G43,EST_OLD!H46))</f>
        <v>0</v>
      </c>
      <c r="I46" t="str">
        <f t="shared" si="1"/>
        <v/>
      </c>
      <c r="J46" s="15">
        <f>MOD(EST_OLD!J46+TIME(12,0,0),1)</f>
        <v>0.5</v>
      </c>
      <c r="K46" s="15">
        <f>MOD(EST_OLD!K46+TIME(12,0,0),1)</f>
        <v>0.5</v>
      </c>
      <c r="L46" s="15">
        <f>MOD(EST_OLD!L46+TIME(12,0,0),1)</f>
        <v>0.5</v>
      </c>
      <c r="M46" s="15">
        <f>MOD(EST_OLD!M46+TIME(12,0,0),1)</f>
        <v>0.5</v>
      </c>
      <c r="N46">
        <f>EST_OLD!N46</f>
        <v>0</v>
      </c>
      <c r="P46" t="e">
        <f t="shared" si="2"/>
        <v>#VALUE!</v>
      </c>
    </row>
    <row r="47" spans="1:16">
      <c r="A47">
        <f>EST_OLD!A47</f>
        <v>0</v>
      </c>
      <c r="B4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7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0</v>
      </c>
      <c r="D47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</v>
      </c>
      <c r="E47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</v>
      </c>
      <c r="F47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</v>
      </c>
      <c r="G47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</v>
      </c>
      <c r="H47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"&amp;TEXT(MOD(TIMEVALUE(_xlfn.TEXTAFTER(_xlpm.s,"-"))+0.5,1),"hh:mm"))),IF(EST_OLD!$P47=1,EST!G44,EST_OLD!H47))</f>
        <v>0</v>
      </c>
      <c r="I47" t="str">
        <f t="shared" si="1"/>
        <v/>
      </c>
      <c r="J47" s="15">
        <f>MOD(EST_OLD!J47+TIME(12,0,0),1)</f>
        <v>0.5</v>
      </c>
      <c r="K47" s="15">
        <f>MOD(EST_OLD!K47+TIME(12,0,0),1)</f>
        <v>0.5</v>
      </c>
      <c r="L47" s="15">
        <f>MOD(EST_OLD!L47+TIME(12,0,0),1)</f>
        <v>0.5</v>
      </c>
      <c r="M47" s="15">
        <f>MOD(EST_OLD!M47+TIME(12,0,0),1)</f>
        <v>0.5</v>
      </c>
      <c r="N47">
        <f>EST_OLD!N47</f>
        <v>0</v>
      </c>
      <c r="P47" t="e">
        <f t="shared" si="2"/>
        <v>#VALUE!</v>
      </c>
    </row>
    <row r="48" spans="1:16">
      <c r="A48">
        <f>EST_OLD!A48</f>
        <v>0</v>
      </c>
      <c r="B4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8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0</v>
      </c>
      <c r="D48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0</v>
      </c>
      <c r="E48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0</v>
      </c>
      <c r="F48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0</v>
      </c>
      <c r="G48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0</v>
      </c>
      <c r="H48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"&amp;TEXT(MOD(TIMEVALUE(_xlfn.TEXTAFTER(_xlpm.s,"-"))+0.5,1),"hh:mm"))),IF(EST_OLD!$P48=1,EST!G45,EST_OLD!H48))</f>
        <v>0</v>
      </c>
      <c r="I48" t="str">
        <f t="shared" si="1"/>
        <v/>
      </c>
      <c r="J48" s="15">
        <f>MOD(EST_OLD!J48+TIME(12,0,0),1)</f>
        <v>0.5</v>
      </c>
      <c r="K48" s="15">
        <f>MOD(EST_OLD!K48+TIME(12,0,0),1)</f>
        <v>0.5</v>
      </c>
      <c r="L48" s="15">
        <f>MOD(EST_OLD!L48+TIME(12,0,0),1)</f>
        <v>0.5</v>
      </c>
      <c r="M48" s="15">
        <f>MOD(EST_OLD!M48+TIME(12,0,0),1)</f>
        <v>0.5</v>
      </c>
      <c r="N48">
        <f>EST_OLD!N48</f>
        <v>0</v>
      </c>
      <c r="P48" t="e">
        <f t="shared" si="2"/>
        <v>#VALUE!</v>
      </c>
    </row>
    <row r="49" spans="1:16">
      <c r="A49">
        <f>EST_OLD!A49</f>
        <v>0</v>
      </c>
      <c r="B4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49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0</v>
      </c>
      <c r="D49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0</v>
      </c>
      <c r="E49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0</v>
      </c>
      <c r="F49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0</v>
      </c>
      <c r="G49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0</v>
      </c>
      <c r="H49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"&amp;TEXT(MOD(TIMEVALUE(_xlfn.TEXTAFTER(_xlpm.s,"-"))+0.5,1),"hh:mm"))),IF(EST_OLD!$P49=1,EST!G46,EST_OLD!H49))</f>
        <v>0</v>
      </c>
      <c r="I49" t="str">
        <f t="shared" si="1"/>
        <v/>
      </c>
      <c r="J49" s="15">
        <f>MOD(EST_OLD!J49+TIME(12,0,0),1)</f>
        <v>0.5</v>
      </c>
      <c r="K49" s="15">
        <f>MOD(EST_OLD!K49+TIME(12,0,0),1)</f>
        <v>0.5</v>
      </c>
      <c r="L49" s="15">
        <f>MOD(EST_OLD!L49+TIME(12,0,0),1)</f>
        <v>0.5</v>
      </c>
      <c r="M49" s="15">
        <f>MOD(EST_OLD!M49+TIME(12,0,0),1)</f>
        <v>0.5</v>
      </c>
      <c r="N49">
        <f>EST_OLD!N49</f>
        <v>0</v>
      </c>
      <c r="P49" t="e">
        <f t="shared" si="2"/>
        <v>#VALUE!</v>
      </c>
    </row>
    <row r="50" spans="1:16">
      <c r="A50">
        <f>EST_OLD!A50</f>
        <v>0</v>
      </c>
      <c r="B5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0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0</v>
      </c>
      <c r="D50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0</v>
      </c>
      <c r="E50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0</v>
      </c>
      <c r="F50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0</v>
      </c>
      <c r="G50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0</v>
      </c>
      <c r="H50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"&amp;TEXT(MOD(TIMEVALUE(_xlfn.TEXTAFTER(_xlpm.s,"-"))+0.5,1),"hh:mm"))),IF(EST_OLD!$P50=1,EST!G47,EST_OLD!H50))</f>
        <v>0</v>
      </c>
      <c r="I50" t="str">
        <f t="shared" si="1"/>
        <v/>
      </c>
      <c r="J50" s="15">
        <f>MOD(EST_OLD!J50+TIME(12,0,0),1)</f>
        <v>0.5</v>
      </c>
      <c r="K50" s="15">
        <f>MOD(EST_OLD!K50+TIME(12,0,0),1)</f>
        <v>0.5</v>
      </c>
      <c r="L50" s="15">
        <f>MOD(EST_OLD!L50+TIME(12,0,0),1)</f>
        <v>0.5</v>
      </c>
      <c r="M50" s="15">
        <f>MOD(EST_OLD!M50+TIME(12,0,0),1)</f>
        <v>0.5</v>
      </c>
      <c r="N50">
        <f>EST_OLD!N50</f>
        <v>0</v>
      </c>
      <c r="P50" t="e">
        <f t="shared" si="2"/>
        <v>#VALUE!</v>
      </c>
    </row>
    <row r="51" spans="1:16">
      <c r="A51">
        <f>EST_OLD!A51</f>
        <v>0</v>
      </c>
      <c r="B5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1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0</v>
      </c>
      <c r="D51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0</v>
      </c>
      <c r="E51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</v>
      </c>
      <c r="F51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</v>
      </c>
      <c r="G51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</v>
      </c>
      <c r="H51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"&amp;TEXT(MOD(TIMEVALUE(_xlfn.TEXTAFTER(_xlpm.s,"-"))+0.5,1),"hh:mm"))),IF(EST_OLD!$P51=1,EST!G48,EST_OLD!H51))</f>
        <v>0</v>
      </c>
      <c r="I51" t="str">
        <f t="shared" si="1"/>
        <v/>
      </c>
      <c r="J51" s="15">
        <f>MOD(EST_OLD!J51+TIME(12,0,0),1)</f>
        <v>0.5</v>
      </c>
      <c r="K51" s="15">
        <f>MOD(EST_OLD!K51+TIME(12,0,0),1)</f>
        <v>0.5</v>
      </c>
      <c r="L51" s="15">
        <f>MOD(EST_OLD!L51+TIME(12,0,0),1)</f>
        <v>0.5</v>
      </c>
      <c r="M51" s="15">
        <f>MOD(EST_OLD!M51+TIME(12,0,0),1)</f>
        <v>0.5</v>
      </c>
      <c r="N51">
        <f>EST_OLD!N51</f>
        <v>0</v>
      </c>
      <c r="P51" t="e">
        <f t="shared" si="2"/>
        <v>#VALUE!</v>
      </c>
    </row>
    <row r="52" spans="1:16">
      <c r="A52">
        <f>EST_OLD!A52</f>
        <v>0</v>
      </c>
      <c r="B5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2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0</v>
      </c>
      <c r="D52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0</v>
      </c>
      <c r="E52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0</v>
      </c>
      <c r="F52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0</v>
      </c>
      <c r="G52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0</v>
      </c>
      <c r="H52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"&amp;TEXT(MOD(TIMEVALUE(_xlfn.TEXTAFTER(_xlpm.s,"-"))+0.5,1),"hh:mm"))),IF(EST_OLD!$P52=1,EST!G49,EST_OLD!H52))</f>
        <v>0</v>
      </c>
      <c r="I52" t="str">
        <f t="shared" si="1"/>
        <v/>
      </c>
      <c r="J52" s="15">
        <f>MOD(EST_OLD!J52+TIME(12,0,0),1)</f>
        <v>0.5</v>
      </c>
      <c r="K52" s="15">
        <f>MOD(EST_OLD!K52+TIME(12,0,0),1)</f>
        <v>0.5</v>
      </c>
      <c r="L52" s="15">
        <f>MOD(EST_OLD!L52+TIME(12,0,0),1)</f>
        <v>0.5</v>
      </c>
      <c r="M52" s="15">
        <f>MOD(EST_OLD!M52+TIME(12,0,0),1)</f>
        <v>0.5</v>
      </c>
      <c r="N52">
        <f>EST_OLD!N52</f>
        <v>0</v>
      </c>
      <c r="P52" t="e">
        <f t="shared" si="2"/>
        <v>#VALUE!</v>
      </c>
    </row>
    <row r="53" spans="1:16">
      <c r="A53">
        <f>EST_OLD!A53</f>
        <v>0</v>
      </c>
      <c r="B5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3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0</v>
      </c>
      <c r="D53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0</v>
      </c>
      <c r="E53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0</v>
      </c>
      <c r="F53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0</v>
      </c>
      <c r="G53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0</v>
      </c>
      <c r="H53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"&amp;TEXT(MOD(TIMEVALUE(_xlfn.TEXTAFTER(_xlpm.s,"-"))+0.5,1),"hh:mm"))),IF(EST_OLD!$P53=1,EST!G50,EST_OLD!H53))</f>
        <v>0</v>
      </c>
      <c r="I53" t="str">
        <f t="shared" si="1"/>
        <v/>
      </c>
      <c r="J53" s="15">
        <f>MOD(EST_OLD!J53+TIME(12,0,0),1)</f>
        <v>0.5</v>
      </c>
      <c r="K53" s="15">
        <f>MOD(EST_OLD!K53+TIME(12,0,0),1)</f>
        <v>0.5</v>
      </c>
      <c r="L53" s="15">
        <f>MOD(EST_OLD!L53+TIME(12,0,0),1)</f>
        <v>0.5</v>
      </c>
      <c r="M53" s="15">
        <f>MOD(EST_OLD!M53+TIME(12,0,0),1)</f>
        <v>0.5</v>
      </c>
      <c r="N53">
        <f>EST_OLD!N53</f>
        <v>0</v>
      </c>
      <c r="P53" t="e">
        <f t="shared" si="2"/>
        <v>#VALUE!</v>
      </c>
    </row>
    <row r="54" spans="1:16">
      <c r="A54">
        <f>EST_OLD!A54</f>
        <v>0</v>
      </c>
      <c r="B5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4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0</v>
      </c>
      <c r="D54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0</v>
      </c>
      <c r="E54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0</v>
      </c>
      <c r="F54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0</v>
      </c>
      <c r="G54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0</v>
      </c>
      <c r="H54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"&amp;TEXT(MOD(TIMEVALUE(_xlfn.TEXTAFTER(_xlpm.s,"-"))+0.5,1),"hh:mm"))),IF(EST_OLD!$P54=1,EST!G51,EST_OLD!H54))</f>
        <v>0</v>
      </c>
      <c r="I54" t="str">
        <f t="shared" si="1"/>
        <v/>
      </c>
      <c r="J54" s="15">
        <f>MOD(EST_OLD!J54+TIME(12,0,0),1)</f>
        <v>0.5</v>
      </c>
      <c r="K54" s="15">
        <f>MOD(EST_OLD!K54+TIME(12,0,0),1)</f>
        <v>0.5</v>
      </c>
      <c r="L54" s="15">
        <f>MOD(EST_OLD!L54+TIME(12,0,0),1)</f>
        <v>0.5</v>
      </c>
      <c r="M54" s="15">
        <f>MOD(EST_OLD!M54+TIME(12,0,0),1)</f>
        <v>0.5</v>
      </c>
      <c r="N54">
        <f>EST_OLD!N54</f>
        <v>0</v>
      </c>
      <c r="P54" t="e">
        <f t="shared" si="2"/>
        <v>#VALUE!</v>
      </c>
    </row>
    <row r="55" spans="1:16">
      <c r="A55">
        <f>EST_OLD!A55</f>
        <v>0</v>
      </c>
      <c r="B5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5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0</v>
      </c>
      <c r="D55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0</v>
      </c>
      <c r="E55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0</v>
      </c>
      <c r="F55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</v>
      </c>
      <c r="G55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</v>
      </c>
      <c r="H55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"&amp;TEXT(MOD(TIMEVALUE(_xlfn.TEXTAFTER(_xlpm.s,"-"))+0.5,1),"hh:mm"))),IF(EST_OLD!$P55=1,EST!G52,EST_OLD!H55))</f>
        <v>0</v>
      </c>
      <c r="I55" t="str">
        <f t="shared" si="1"/>
        <v/>
      </c>
      <c r="J55" s="15">
        <f>MOD(EST_OLD!J55+TIME(12,0,0),1)</f>
        <v>0.5</v>
      </c>
      <c r="K55" s="15">
        <f>MOD(EST_OLD!K55+TIME(12,0,0),1)</f>
        <v>0.5</v>
      </c>
      <c r="L55" s="15">
        <f>MOD(EST_OLD!L55+TIME(12,0,0),1)</f>
        <v>0.5</v>
      </c>
      <c r="M55" s="15">
        <f>MOD(EST_OLD!M55+TIME(12,0,0),1)</f>
        <v>0.5</v>
      </c>
      <c r="N55">
        <f>EST_OLD!N55</f>
        <v>0</v>
      </c>
      <c r="P55" t="e">
        <f t="shared" si="2"/>
        <v>#VALUE!</v>
      </c>
    </row>
    <row r="56" spans="1:16">
      <c r="A56">
        <f>EST_OLD!A56</f>
        <v>0</v>
      </c>
      <c r="B5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6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0</v>
      </c>
      <c r="D56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0</v>
      </c>
      <c r="E56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0</v>
      </c>
      <c r="F56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0</v>
      </c>
      <c r="G56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0</v>
      </c>
      <c r="H56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"&amp;TEXT(MOD(TIMEVALUE(_xlfn.TEXTAFTER(_xlpm.s,"-"))+0.5,1),"hh:mm"))),IF(EST_OLD!$P56=1,EST!G53,EST_OLD!H56))</f>
        <v>0</v>
      </c>
      <c r="I56" t="str">
        <f t="shared" si="1"/>
        <v/>
      </c>
      <c r="J56" s="15">
        <f>MOD(EST_OLD!J56+TIME(12,0,0),1)</f>
        <v>0.5</v>
      </c>
      <c r="K56" s="15">
        <f>MOD(EST_OLD!K56+TIME(12,0,0),1)</f>
        <v>0.5</v>
      </c>
      <c r="L56" s="15">
        <f>MOD(EST_OLD!L56+TIME(12,0,0),1)</f>
        <v>0.5</v>
      </c>
      <c r="M56" s="15">
        <f>MOD(EST_OLD!M56+TIME(12,0,0),1)</f>
        <v>0.5</v>
      </c>
      <c r="N56">
        <f>EST_OLD!N56</f>
        <v>0</v>
      </c>
      <c r="P56" t="e">
        <f t="shared" si="2"/>
        <v>#VALUE!</v>
      </c>
    </row>
    <row r="57" spans="1:16">
      <c r="A57">
        <f>EST_OLD!A57</f>
        <v>0</v>
      </c>
      <c r="B5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7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0</v>
      </c>
      <c r="D57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0</v>
      </c>
      <c r="E57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0</v>
      </c>
      <c r="F57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0</v>
      </c>
      <c r="G57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0</v>
      </c>
      <c r="H57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"&amp;TEXT(MOD(TIMEVALUE(_xlfn.TEXTAFTER(_xlpm.s,"-"))+0.5,1),"hh:mm"))),IF(EST_OLD!$P57=1,EST!G54,EST_OLD!H57))</f>
        <v>0</v>
      </c>
      <c r="I57" t="str">
        <f t="shared" si="1"/>
        <v/>
      </c>
      <c r="J57" s="15">
        <f>MOD(EST_OLD!J57+TIME(12,0,0),1)</f>
        <v>0.5</v>
      </c>
      <c r="K57" s="15">
        <f>MOD(EST_OLD!K57+TIME(12,0,0),1)</f>
        <v>0.5</v>
      </c>
      <c r="L57" s="15">
        <f>MOD(EST_OLD!L57+TIME(12,0,0),1)</f>
        <v>0.5</v>
      </c>
      <c r="M57" s="15">
        <f>MOD(EST_OLD!M57+TIME(12,0,0),1)</f>
        <v>0.5</v>
      </c>
      <c r="N57">
        <f>EST_OLD!N57</f>
        <v>0</v>
      </c>
      <c r="P57" t="e">
        <f t="shared" si="2"/>
        <v>#VALUE!</v>
      </c>
    </row>
    <row r="58" spans="1:16">
      <c r="A58">
        <f>EST_OLD!A58</f>
        <v>0</v>
      </c>
      <c r="B5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8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0</v>
      </c>
      <c r="D58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0</v>
      </c>
      <c r="E58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0</v>
      </c>
      <c r="F58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0</v>
      </c>
      <c r="G58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0</v>
      </c>
      <c r="H58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"&amp;TEXT(MOD(TIMEVALUE(_xlfn.TEXTAFTER(_xlpm.s,"-"))+0.5,1),"hh:mm"))),IF(EST_OLD!$P58=1,EST!G55,EST_OLD!H58))</f>
        <v>0</v>
      </c>
      <c r="I58" t="str">
        <f t="shared" si="1"/>
        <v/>
      </c>
      <c r="J58" s="15">
        <f>MOD(EST_OLD!J58+TIME(12,0,0),1)</f>
        <v>0.5</v>
      </c>
      <c r="K58" s="15">
        <f>MOD(EST_OLD!K58+TIME(12,0,0),1)</f>
        <v>0.5</v>
      </c>
      <c r="L58" s="15">
        <f>MOD(EST_OLD!L58+TIME(12,0,0),1)</f>
        <v>0.5</v>
      </c>
      <c r="M58" s="15">
        <f>MOD(EST_OLD!M58+TIME(12,0,0),1)</f>
        <v>0.5</v>
      </c>
      <c r="N58">
        <f>EST_OLD!N58</f>
        <v>0</v>
      </c>
      <c r="P58" t="e">
        <f t="shared" si="2"/>
        <v>#VALUE!</v>
      </c>
    </row>
    <row r="59" spans="1:16">
      <c r="A59">
        <f>EST_OLD!A59</f>
        <v>0</v>
      </c>
      <c r="B59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59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0</v>
      </c>
      <c r="D59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0</v>
      </c>
      <c r="E59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0</v>
      </c>
      <c r="F59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0</v>
      </c>
      <c r="G59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0</v>
      </c>
      <c r="H59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"&amp;TEXT(MOD(TIMEVALUE(_xlfn.TEXTAFTER(_xlpm.s,"-"))+0.5,1),"hh:mm"))),IF(EST_OLD!$P59=1,EST!G56,EST_OLD!H59))</f>
        <v>0</v>
      </c>
      <c r="I59" t="str">
        <f t="shared" si="1"/>
        <v/>
      </c>
      <c r="J59" s="15">
        <f>MOD(EST_OLD!J59+TIME(12,0,0),1)</f>
        <v>0.5</v>
      </c>
      <c r="K59" s="15">
        <f>MOD(EST_OLD!K59+TIME(12,0,0),1)</f>
        <v>0.5</v>
      </c>
      <c r="L59" s="15">
        <f>MOD(EST_OLD!L59+TIME(12,0,0),1)</f>
        <v>0.5</v>
      </c>
      <c r="M59" s="15">
        <f>MOD(EST_OLD!M59+TIME(12,0,0),1)</f>
        <v>0.5</v>
      </c>
      <c r="N59">
        <f>EST_OLD!N59</f>
        <v>0</v>
      </c>
      <c r="P59" t="e">
        <f t="shared" si="2"/>
        <v>#VALUE!</v>
      </c>
    </row>
    <row r="60" spans="1:16">
      <c r="A60">
        <f>EST_OLD!A60</f>
        <v>0</v>
      </c>
      <c r="B60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0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0</v>
      </c>
      <c r="D60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0</v>
      </c>
      <c r="E60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0</v>
      </c>
      <c r="F60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0</v>
      </c>
      <c r="G60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0</v>
      </c>
      <c r="H60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"&amp;TEXT(MOD(TIMEVALUE(_xlfn.TEXTAFTER(_xlpm.s,"-"))+0.5,1),"hh:mm"))),IF(EST_OLD!$P60=1,EST!G57,EST_OLD!H60))</f>
        <v>0</v>
      </c>
      <c r="I60" t="str">
        <f t="shared" si="1"/>
        <v/>
      </c>
      <c r="J60" s="15">
        <f>MOD(EST_OLD!J60+TIME(12,0,0),1)</f>
        <v>0.5</v>
      </c>
      <c r="K60" s="15">
        <f>MOD(EST_OLD!K60+TIME(12,0,0),1)</f>
        <v>0.5</v>
      </c>
      <c r="L60" s="15">
        <f>MOD(EST_OLD!L60+TIME(12,0,0),1)</f>
        <v>0.5</v>
      </c>
      <c r="M60" s="15">
        <f>MOD(EST_OLD!M60+TIME(12,0,0),1)</f>
        <v>0.5</v>
      </c>
      <c r="N60">
        <f>EST_OLD!N60</f>
        <v>0</v>
      </c>
      <c r="P60" t="e">
        <f t="shared" si="2"/>
        <v>#VALUE!</v>
      </c>
    </row>
    <row r="61" spans="1:16">
      <c r="A61">
        <f>EST_OLD!A61</f>
        <v>0</v>
      </c>
      <c r="B61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1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0</v>
      </c>
      <c r="D61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0</v>
      </c>
      <c r="E61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0</v>
      </c>
      <c r="F61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0</v>
      </c>
      <c r="G61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0</v>
      </c>
      <c r="H61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"&amp;TEXT(MOD(TIMEVALUE(_xlfn.TEXTAFTER(_xlpm.s,"-"))+0.5,1),"hh:mm"))),IF(EST_OLD!$P61=1,EST!G58,EST_OLD!H61))</f>
        <v>0</v>
      </c>
      <c r="I61" t="str">
        <f t="shared" si="1"/>
        <v/>
      </c>
      <c r="J61" s="15">
        <f>MOD(EST_OLD!J61+TIME(12,0,0),1)</f>
        <v>0.5</v>
      </c>
      <c r="K61" s="15">
        <f>MOD(EST_OLD!K61+TIME(12,0,0),1)</f>
        <v>0.5</v>
      </c>
      <c r="L61" s="15">
        <f>MOD(EST_OLD!L61+TIME(12,0,0),1)</f>
        <v>0.5</v>
      </c>
      <c r="M61" s="15">
        <f>MOD(EST_OLD!M61+TIME(12,0,0),1)</f>
        <v>0.5</v>
      </c>
      <c r="N61">
        <f>EST_OLD!N61</f>
        <v>0</v>
      </c>
      <c r="P61" t="e">
        <f t="shared" si="2"/>
        <v>#VALUE!</v>
      </c>
    </row>
    <row r="62" spans="1:16">
      <c r="A62">
        <f>EST_OLD!A62</f>
        <v>0</v>
      </c>
      <c r="B62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2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0</v>
      </c>
      <c r="D62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0</v>
      </c>
      <c r="E62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0</v>
      </c>
      <c r="F62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0</v>
      </c>
      <c r="G62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0</v>
      </c>
      <c r="H62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"&amp;TEXT(MOD(TIMEVALUE(_xlfn.TEXTAFTER(_xlpm.s,"-"))+0.5,1),"hh:mm"))),IF(EST_OLD!$P62=1,EST!G59,EST_OLD!H62))</f>
        <v>0</v>
      </c>
      <c r="I62" t="str">
        <f t="shared" si="1"/>
        <v/>
      </c>
      <c r="J62" s="15">
        <f>MOD(EST_OLD!J62+TIME(12,0,0),1)</f>
        <v>0.5</v>
      </c>
      <c r="K62" s="15">
        <f>MOD(EST_OLD!K62+TIME(12,0,0),1)</f>
        <v>0.5</v>
      </c>
      <c r="L62" s="15">
        <f>MOD(EST_OLD!L62+TIME(12,0,0),1)</f>
        <v>0.5</v>
      </c>
      <c r="M62" s="15">
        <f>MOD(EST_OLD!M62+TIME(12,0,0),1)</f>
        <v>0.5</v>
      </c>
      <c r="N62">
        <f>EST_OLD!N62</f>
        <v>0</v>
      </c>
      <c r="P62" t="e">
        <f t="shared" si="2"/>
        <v>#VALUE!</v>
      </c>
    </row>
    <row r="63" spans="1:16">
      <c r="A63">
        <f>EST_OLD!A63</f>
        <v>0</v>
      </c>
      <c r="B63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3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0</v>
      </c>
      <c r="D63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0</v>
      </c>
      <c r="E63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0</v>
      </c>
      <c r="F63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0</v>
      </c>
      <c r="G63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0</v>
      </c>
      <c r="H63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"&amp;TEXT(MOD(TIMEVALUE(_xlfn.TEXTAFTER(_xlpm.s,"-"))+0.5,1),"hh:mm"))),IF(EST_OLD!$P63=1,EST!G60,EST_OLD!H63))</f>
        <v>0</v>
      </c>
      <c r="I63" t="str">
        <f t="shared" si="1"/>
        <v/>
      </c>
      <c r="J63" s="15">
        <f>MOD(EST_OLD!J63+TIME(12,0,0),1)</f>
        <v>0.5</v>
      </c>
      <c r="K63" s="15">
        <f>MOD(EST_OLD!K63+TIME(12,0,0),1)</f>
        <v>0.5</v>
      </c>
      <c r="L63" s="15">
        <f>MOD(EST_OLD!L63+TIME(12,0,0),1)</f>
        <v>0.5</v>
      </c>
      <c r="M63" s="15">
        <f>MOD(EST_OLD!M63+TIME(12,0,0),1)</f>
        <v>0.5</v>
      </c>
      <c r="N63">
        <f>EST_OLD!N63</f>
        <v>0</v>
      </c>
      <c r="P63" t="e">
        <f t="shared" si="2"/>
        <v>#VALUE!</v>
      </c>
    </row>
    <row r="64" spans="1:16">
      <c r="A64">
        <f>EST_OLD!A64</f>
        <v>0</v>
      </c>
      <c r="B64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4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0</v>
      </c>
      <c r="D64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0</v>
      </c>
      <c r="E64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0</v>
      </c>
      <c r="F64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0</v>
      </c>
      <c r="G64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0</v>
      </c>
      <c r="H64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"&amp;TEXT(MOD(TIMEVALUE(_xlfn.TEXTAFTER(_xlpm.s,"-"))+0.5,1),"hh:mm"))),IF(EST_OLD!$P64=1,EST!G61,EST_OLD!H64))</f>
        <v>0</v>
      </c>
      <c r="I64" t="str">
        <f t="shared" si="1"/>
        <v/>
      </c>
      <c r="J64" s="15">
        <f>MOD(EST_OLD!J64+TIME(12,0,0),1)</f>
        <v>0.5</v>
      </c>
      <c r="K64" s="15">
        <f>MOD(EST_OLD!K64+TIME(12,0,0),1)</f>
        <v>0.5</v>
      </c>
      <c r="L64" s="15">
        <f>MOD(EST_OLD!L64+TIME(12,0,0),1)</f>
        <v>0.5</v>
      </c>
      <c r="M64" s="15">
        <f>MOD(EST_OLD!M64+TIME(12,0,0),1)</f>
        <v>0.5</v>
      </c>
      <c r="N64">
        <f>EST_OLD!N64</f>
        <v>0</v>
      </c>
      <c r="P64" t="e">
        <f t="shared" si="2"/>
        <v>#VALUE!</v>
      </c>
    </row>
    <row r="65" spans="1:16">
      <c r="A65">
        <f>EST_OLD!A65</f>
        <v>0</v>
      </c>
      <c r="B65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5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0</v>
      </c>
      <c r="D65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0</v>
      </c>
      <c r="E65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0</v>
      </c>
      <c r="F65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0</v>
      </c>
      <c r="G65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0</v>
      </c>
      <c r="H65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"&amp;TEXT(MOD(TIMEVALUE(_xlfn.TEXTAFTER(_xlpm.s,"-"))+0.5,1),"hh:mm"))),IF(EST_OLD!$P65=1,EST!G62,EST_OLD!H65))</f>
        <v>0</v>
      </c>
      <c r="I65" t="str">
        <f t="shared" si="1"/>
        <v/>
      </c>
      <c r="J65" s="15">
        <f>MOD(EST_OLD!J65+TIME(12,0,0),1)</f>
        <v>0.5</v>
      </c>
      <c r="K65" s="15">
        <f>MOD(EST_OLD!K65+TIME(12,0,0),1)</f>
        <v>0.5</v>
      </c>
      <c r="L65" s="15">
        <f>MOD(EST_OLD!L65+TIME(12,0,0),1)</f>
        <v>0.5</v>
      </c>
      <c r="M65" s="15">
        <f>MOD(EST_OLD!M65+TIME(12,0,0),1)</f>
        <v>0.5</v>
      </c>
      <c r="N65">
        <f>EST_OLD!N65</f>
        <v>0</v>
      </c>
      <c r="P65" t="e">
        <f t="shared" si="2"/>
        <v>#VALUE!</v>
      </c>
    </row>
    <row r="66" spans="1:16">
      <c r="A66">
        <f>EST_OLD!A66</f>
        <v>0</v>
      </c>
      <c r="B66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6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0</v>
      </c>
      <c r="D66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0</v>
      </c>
      <c r="E66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0</v>
      </c>
      <c r="F66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0</v>
      </c>
      <c r="G66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0</v>
      </c>
      <c r="H66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"&amp;TEXT(MOD(TIMEVALUE(_xlfn.TEXTAFTER(_xlpm.s,"-"))+0.5,1),"hh:mm"))),IF(EST_OLD!$P66=1,EST!G63,EST_OLD!H66))</f>
        <v>0</v>
      </c>
      <c r="I66" t="str">
        <f t="shared" si="1"/>
        <v/>
      </c>
      <c r="J66" s="15">
        <f>MOD(EST_OLD!J66+TIME(12,0,0),1)</f>
        <v>0.5</v>
      </c>
      <c r="K66" s="15">
        <f>MOD(EST_OLD!K66+TIME(12,0,0),1)</f>
        <v>0.5</v>
      </c>
      <c r="L66" s="15">
        <f>MOD(EST_OLD!L66+TIME(12,0,0),1)</f>
        <v>0.5</v>
      </c>
      <c r="M66" s="15">
        <f>MOD(EST_OLD!M66+TIME(12,0,0),1)</f>
        <v>0.5</v>
      </c>
      <c r="N66">
        <f>EST_OLD!N66</f>
        <v>0</v>
      </c>
      <c r="P66" t="e">
        <f t="shared" ref="P66:P68" si="3">IF(
TIMEVALUE(LEFT(O66,FIND("-",O66)-1))&gt;=12/24,
0,
1
)</f>
        <v>#VALUE!</v>
      </c>
    </row>
    <row r="67" spans="1:16">
      <c r="A67">
        <f>EST_OLD!A67</f>
        <v>0</v>
      </c>
      <c r="B67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7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0</v>
      </c>
      <c r="D67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0</v>
      </c>
      <c r="E67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0</v>
      </c>
      <c r="F67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0</v>
      </c>
      <c r="G67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0</v>
      </c>
      <c r="H67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"&amp;TEXT(MOD(TIMEVALUE(_xlfn.TEXTAFTER(_xlpm.s,"-"))+0.5,1),"hh:mm"))),IF(EST_OLD!$P67=1,EST!G64,EST_OLD!H67))</f>
        <v>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/>
      </c>
      <c r="J67" s="15">
        <f>MOD(EST_OLD!J67+TIME(12,0,0),1)</f>
        <v>0.5</v>
      </c>
      <c r="K67" s="15">
        <f>MOD(EST_OLD!K67+TIME(12,0,0),1)</f>
        <v>0.5</v>
      </c>
      <c r="L67" s="15">
        <f>MOD(EST_OLD!L67+TIME(12,0,0),1)</f>
        <v>0.5</v>
      </c>
      <c r="M67" s="15">
        <f>MOD(EST_OLD!M67+TIME(12,0,0),1)</f>
        <v>0.5</v>
      </c>
      <c r="N67">
        <f>EST_OLD!N67</f>
        <v>0</v>
      </c>
      <c r="P67" t="e">
        <f t="shared" si="3"/>
        <v>#VALUE!</v>
      </c>
    </row>
    <row r="68" spans="1:16">
      <c r="A68">
        <f>EST_OLD!A68</f>
        <v>0</v>
      </c>
      <c r="B68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</v>
      </c>
      <c r="C68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0</v>
      </c>
      <c r="D68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0</v>
      </c>
      <c r="E68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0</v>
      </c>
      <c r="F68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0</v>
      </c>
      <c r="G68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0</v>
      </c>
      <c r="H68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0</v>
      </c>
      <c r="I68" t="str">
        <f t="shared" si="4"/>
        <v/>
      </c>
      <c r="J68" s="15">
        <f>MOD(EST_OLD!J68+TIME(12,0,0),1)</f>
        <v>0.5</v>
      </c>
      <c r="K68" s="15">
        <f>MOD(EST_OLD!K68+TIME(12,0,0),1)</f>
        <v>0.5</v>
      </c>
      <c r="L68" s="15">
        <f>MOD(EST_OLD!L68+TIME(12,0,0),1)</f>
        <v>0.5</v>
      </c>
      <c r="M68" s="15">
        <f>MOD(EST_OLD!M68+TIME(12,0,0),1)</f>
        <v>0.5</v>
      </c>
      <c r="N68">
        <f>EST_OLD!N68</f>
        <v>0</v>
      </c>
      <c r="P68" t="e">
        <f t="shared" si="3"/>
        <v>#VALUE!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70"/>
  <sheetViews>
    <sheetView topLeftCell="A51" workbookViewId="0">
      <selection activeCell="A2" sqref="A2:D71"/>
    </sheetView>
  </sheetViews>
  <sheetFormatPr defaultRowHeight="14.45"/>
  <cols>
    <col min="1" max="1" width="26.7109375" customWidth="1"/>
    <col min="2" max="2" width="19.140625" style="13" customWidth="1"/>
    <col min="3" max="3" width="22.5703125" customWidth="1"/>
    <col min="4" max="4" width="16.7109375" bestFit="1" customWidth="1"/>
  </cols>
  <sheetData>
    <row r="1" spans="1:4" ht="17.45" thickBot="1">
      <c r="A1" s="9" t="s">
        <v>0</v>
      </c>
      <c r="B1" s="12" t="s">
        <v>65</v>
      </c>
      <c r="C1" s="9" t="s">
        <v>66</v>
      </c>
      <c r="D1" s="9" t="s">
        <v>13</v>
      </c>
    </row>
    <row r="2" spans="1:4">
      <c r="A2" s="8"/>
    </row>
    <row r="13" spans="1:4">
      <c r="A13" s="6"/>
    </row>
    <row r="25" spans="1:1">
      <c r="A25" s="16"/>
    </row>
    <row r="26" spans="1:1">
      <c r="A26" s="16"/>
    </row>
    <row r="28" spans="1:1">
      <c r="A28" s="29"/>
    </row>
    <row r="34" spans="1:1">
      <c r="A34" s="29"/>
    </row>
    <row r="37" spans="1:1">
      <c r="A37" s="29"/>
    </row>
    <row r="43" spans="1:1">
      <c r="A43" s="29"/>
    </row>
    <row r="69" spans="1:1">
      <c r="A69" s="17"/>
    </row>
    <row r="70" spans="1:1">
      <c r="A70" s="44"/>
    </row>
  </sheetData>
  <autoFilter ref="A1:D66" xr:uid="{7AC4105F-36DE-413B-8CE0-3469CE31C697}">
    <sortState xmlns:xlrd2="http://schemas.microsoft.com/office/spreadsheetml/2017/richdata2" ref="A2:D70">
      <sortCondition ref="B1:B66"/>
    </sortState>
  </autoFilter>
  <conditionalFormatting sqref="A2">
    <cfRule type="cellIs" dxfId="8" priority="2" operator="equal">
      <formula>"OFF"</formula>
    </cfRule>
  </conditionalFormatting>
  <conditionalFormatting sqref="A13">
    <cfRule type="cellIs" dxfId="7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tabSelected="1" workbookViewId="0">
      <selection activeCell="A2" sqref="A2:C16"/>
    </sheetView>
  </sheetViews>
  <sheetFormatPr defaultRowHeight="14.45"/>
  <cols>
    <col min="1" max="1" width="28.7109375" style="11" bestFit="1" customWidth="1"/>
    <col min="2" max="2" width="15.28515625" style="13" customWidth="1"/>
    <col min="3" max="3" width="25.85546875" style="11" customWidth="1"/>
    <col min="4" max="4" width="16.7109375" bestFit="1" customWidth="1"/>
  </cols>
  <sheetData>
    <row r="1" spans="1:4" ht="16.899999999999999">
      <c r="A1" s="30" t="s">
        <v>0</v>
      </c>
      <c r="B1" s="12" t="s">
        <v>65</v>
      </c>
      <c r="C1" s="10" t="s">
        <v>66</v>
      </c>
      <c r="D1" s="10" t="s">
        <v>13</v>
      </c>
    </row>
    <row r="2" spans="1:4">
      <c r="A2" s="31"/>
      <c r="D2" t="e">
        <f>VLOOKUP(A2,EST!A:N,14,FALSE)</f>
        <v>#N/A</v>
      </c>
    </row>
    <row r="3" spans="1:4">
      <c r="D3" t="e">
        <f>VLOOKUP(A3,EST!A:N,14,FALSE)</f>
        <v>#N/A</v>
      </c>
    </row>
    <row r="4" spans="1:4">
      <c r="A4" s="17"/>
      <c r="D4" t="e">
        <f>VLOOKUP(A4,EST!A:N,14,FALSE)</f>
        <v>#N/A</v>
      </c>
    </row>
    <row r="5" spans="1:4">
      <c r="D5" t="e">
        <f>VLOOKUP(A5,EST!A:N,14,FALSE)</f>
        <v>#N/A</v>
      </c>
    </row>
    <row r="6" spans="1:4">
      <c r="A6" s="17"/>
      <c r="D6" t="e">
        <f>VLOOKUP(A6,EST!A:N,14,FALSE)</f>
        <v>#N/A</v>
      </c>
    </row>
    <row r="7" spans="1:4">
      <c r="A7" s="17"/>
      <c r="D7" t="e">
        <f>VLOOKUP(A7,EST!A:N,14,FALSE)</f>
        <v>#N/A</v>
      </c>
    </row>
    <row r="8" spans="1:4">
      <c r="D8" t="str">
        <f>_xlfn.IFNA(VLOOKUP(A8,EST!A:N,14,FALSE),"")</f>
        <v/>
      </c>
    </row>
    <row r="9" spans="1:4">
      <c r="D9" t="str">
        <f>_xlfn.IFNA(VLOOKUP(A9,EST!A:N,14,FALSE),"")</f>
        <v/>
      </c>
    </row>
    <row r="10" spans="1:4">
      <c r="D10" t="str">
        <f>_xlfn.IFNA(VLOOKUP(A10,EST!A:N,14,FALSE),"")</f>
        <v/>
      </c>
    </row>
    <row r="11" spans="1:4">
      <c r="A11" s="17"/>
      <c r="D11" t="str">
        <f>_xlfn.IFNA(VLOOKUP(A11,EST!A:N,14,FALSE),"")</f>
        <v/>
      </c>
    </row>
    <row r="12" spans="1:4">
      <c r="A12" s="17"/>
      <c r="D12" t="str">
        <f>_xlfn.IFNA(VLOOKUP(A12,EST!A:N,14,FALSE),"")</f>
        <v/>
      </c>
    </row>
    <row r="13" spans="1:4">
      <c r="D13" t="str">
        <f>_xlfn.IFNA(VLOOKUP(A13,EST!A:N,14,FALSE),"")</f>
        <v/>
      </c>
    </row>
    <row r="14" spans="1:4">
      <c r="A14" s="17"/>
      <c r="D14" t="str">
        <f>_xlfn.IFNA(VLOOKUP(A14,EST!A:N,14,FALSE),"")</f>
        <v/>
      </c>
    </row>
    <row r="15" spans="1:4">
      <c r="D15" t="str">
        <f>_xlfn.IFNA(VLOOKUP(A15,EST!A:N,14,FALSE),"")</f>
        <v/>
      </c>
    </row>
    <row r="16" spans="1:4">
      <c r="A16" s="17"/>
      <c r="D16" t="str">
        <f>_xlfn.IFNA(VLOOKUP(A16,EST!A:N,14,FALSE),"")</f>
        <v/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6" priority="8" operator="equal">
      <formula>"OFF"</formula>
    </cfRule>
  </conditionalFormatting>
  <conditionalFormatting sqref="A4">
    <cfRule type="cellIs" dxfId="5" priority="7" operator="equal">
      <formula>"OFF"</formula>
    </cfRule>
  </conditionalFormatting>
  <conditionalFormatting sqref="A6:A7">
    <cfRule type="cellIs" dxfId="4" priority="5" operator="equal">
      <formula>"OFF"</formula>
    </cfRule>
  </conditionalFormatting>
  <conditionalFormatting sqref="A11:A12">
    <cfRule type="cellIs" dxfId="3" priority="3" operator="equal">
      <formula>"OFF"</formula>
    </cfRule>
  </conditionalFormatting>
  <conditionalFormatting sqref="A14">
    <cfRule type="cellIs" dxfId="2" priority="2" operator="equal">
      <formula>"OFF"</formula>
    </cfRule>
  </conditionalFormatting>
  <conditionalFormatting sqref="A16">
    <cfRule type="cellIs" dxfId="1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4.4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</row>
    <row r="2" spans="1:14">
      <c r="A2" s="47" t="s">
        <v>67</v>
      </c>
      <c r="B2" s="21" t="s">
        <v>18</v>
      </c>
      <c r="C2" s="21" t="s">
        <v>18</v>
      </c>
      <c r="D2" s="21" t="s">
        <v>18</v>
      </c>
      <c r="E2" s="48" t="s">
        <v>27</v>
      </c>
      <c r="F2" s="48" t="s">
        <v>27</v>
      </c>
      <c r="G2" s="48" t="s">
        <v>27</v>
      </c>
      <c r="H2" s="48" t="s">
        <v>27</v>
      </c>
      <c r="I2" s="21" t="s">
        <v>68</v>
      </c>
      <c r="J2" s="22">
        <v>0.625</v>
      </c>
      <c r="K2" s="22">
        <v>0.71875</v>
      </c>
      <c r="L2" s="22">
        <v>0.8125</v>
      </c>
      <c r="M2" s="22">
        <v>0.9375</v>
      </c>
      <c r="N2" s="23" t="s">
        <v>35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2026-10-29T21:56:23Z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